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939b82d4c846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대시보드" sheetId="1" r:id="R260232fef2be4f0c"/>
    <x:sheet xmlns:r="http://schemas.openxmlformats.org/officeDocument/2006/relationships" name="01_사용방법" sheetId="2" r:id="R9cba81ab043640bd"/>
    <x:sheet xmlns:r="http://schemas.openxmlformats.org/officeDocument/2006/relationships" name="02_설정" sheetId="3" r:id="R91d2d6a4ee694f82"/>
    <x:sheet xmlns:r="http://schemas.openxmlformats.org/officeDocument/2006/relationships" name="03_체크리스트분류" sheetId="4" r:id="R093d7fc454b74623"/>
    <x:sheet xmlns:r="http://schemas.openxmlformats.org/officeDocument/2006/relationships" name="04_체크리스트" sheetId="5" r:id="Rf83a71c0f5da49ee"/>
    <x:sheet xmlns:r="http://schemas.openxmlformats.org/officeDocument/2006/relationships" name="05_인원분류" sheetId="6" r:id="Rd2c3288a0fe04847"/>
    <x:sheet xmlns:r="http://schemas.openxmlformats.org/officeDocument/2006/relationships" name="06_인원관리" sheetId="7" r:id="Rc6a68ecb5b544657"/>
    <x:sheet xmlns:r="http://schemas.openxmlformats.org/officeDocument/2006/relationships" name="07_예산분류" sheetId="8" r:id="R37be61f333934bc0"/>
    <x:sheet xmlns:r="http://schemas.openxmlformats.org/officeDocument/2006/relationships" name="08_나의예산" sheetId="9" r:id="Rfabf40aa3cda45d7"/>
    <x:sheet xmlns:r="http://schemas.openxmlformats.org/officeDocument/2006/relationships" name="09_예산상세" sheetId="10" r:id="Rec9097cf4f5e408a"/>
    <x:sheet xmlns:r="http://schemas.openxmlformats.org/officeDocument/2006/relationships" name="10_웨딩홀" sheetId="11" r:id="Rdc02a3dba0e14fa5"/>
    <x:sheet xmlns:r="http://schemas.openxmlformats.org/officeDocument/2006/relationships" name="11_스드메" sheetId="12" r:id="R0117b6dadec743e1"/>
    <x:sheet xmlns:r="http://schemas.openxmlformats.org/officeDocument/2006/relationships" name="12_보금자리" sheetId="13" r:id="R4e9f18c50c8848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#,##0&quot;원&quot;"/>
    <x:numFmt numFmtId="202" formatCode="yyyy-mm-dd"/>
  </x:numFmts>
  <x:fonts count="11">
    <x:font>
      <x:sz val="11"/>
      <x:name val="Carlito"/>
    </x:font>
    <x:font>
      <x:b/>
      <x:sz val="20"/>
      <x:color rgb="1D6F62"/>
      <x:name val="Carlito"/>
    </x:font>
    <x:font>
      <x:b/>
      <x:sz val="10"/>
      <x:color rgb="5F6E68"/>
      <x:name val="Carlito"/>
    </x:font>
    <x:font>
      <x:b/>
      <x:sz val="11"/>
      <x:color rgb="1F2A26"/>
      <x:name val="Carlito"/>
    </x:font>
    <x:font>
      <x:b/>
      <x:sz val="11"/>
      <x:color rgb="1D6F62"/>
      <x:name val="Carlito"/>
    </x:font>
    <x:font>
      <x:b/>
      <x:sz val="18"/>
      <x:color rgb="1D6F62"/>
      <x:name val="Carlito"/>
    </x:font>
    <x:font>
      <x:b/>
      <x:sz val="11"/>
      <x:name val="Carlito"/>
    </x:font>
    <x:font>
      <x:b/>
      <x:sz val="12"/>
      <x:color rgb="1D6F62"/>
      <x:name val="Carlito"/>
    </x:font>
    <x:font>
      <x:b/>
      <x:sz val="16"/>
      <x:color rgb="1D6F62"/>
      <x:name val="Carlito"/>
    </x:font>
    <x:font>
      <x:b/>
      <x:sz val="10"/>
      <x:color rgb="1F2A26"/>
      <x:name val="Arial"/>
    </x:font>
    <x:font>
      <x:sz val="10"/>
      <x:color rgb="1F2A26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EDF3F1"/>
      </x:patternFill>
    </x:fill>
    <x:fill>
      <x:patternFill patternType="solid">
        <x:fgColor rgb="E8F4EF"/>
      </x:patternFill>
    </x:fill>
    <x:fill>
      <x:patternFill patternType="solid">
        <x:fgColor rgb="FFFFFF"/>
      </x:patternFill>
    </x:fill>
    <x:fill>
      <x:patternFill patternType="solid">
        <x:fgColor rgb="F5F8F7"/>
      </x:patternFill>
    </x:fill>
  </x:fills>
  <x:borders count="2">
    <x:border/>
    <x:border>
      <x:left style="thin">
        <x:color rgb="D7DFDA"/>
      </x:left>
      <x:right style="thin">
        <x:color rgb="D7DFDA"/>
      </x:right>
      <x:top style="thin">
        <x:color rgb="D7DFDA"/>
      </x:top>
      <x:bottom style="thin">
        <x:color rgb="D7DFDA"/>
      </x:bottom>
    </x:border>
  </x:borders>
  <x:cellStyleXfs count="1">
    <x:xf numFmtId="0" fontId="0" fillId="0" borderId="0"/>
  </x:cellStyleXfs>
  <x:cellXfs count="6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horizontal="right" vertical="center"/>
    </x:xf>
    <x:xf numFmtId="200" fontId="4" fillId="3" borderId="1" xfId="0" applyNumberFormat="1" applyFont="1" applyFill="1" applyBorder="1" applyAlignment="1">
      <x:alignment horizontal="right" vertical="center"/>
    </x:xf>
    <x:xf numFmtId="201" fontId="4" fillId="3" borderId="1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 applyAlignment="1">
      <x:alignment vertical="top" wrapText="1"/>
    </x:xf>
    <x:xf numFmtId="0" fontId="6" fillId="2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8" fillId="3" borderId="1" xfId="0" applyNumberFormat="1" applyFont="1" applyFill="1" applyBorder="1" applyAlignment="1">
      <x:alignment vertical="center" wrapText="1"/>
    </x:xf>
    <x:xf numFmtId="0" fontId="8" fillId="3" borderId="1" xfId="0" applyNumberFormat="1" applyFont="1" applyFill="1" applyBorder="1" applyAlignment="1">
      <x:alignment horizontal="center" vertical="center" wrapText="1"/>
    </x:xf>
    <x:xf numFmtId="200" fontId="8" fillId="3" borderId="1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202" fontId="0" fillId="4" borderId="1" xfId="0" applyNumberFormat="1" applyFont="1" applyFill="1" applyBorder="1" applyAlignment="1">
      <x:alignment vertical="center" wrapText="1"/>
    </x:xf>
    <x:xf numFmtId="200" fontId="0" fillId="4" borderId="1" xfId="0" applyNumberFormat="1" applyFont="1" applyFill="1" applyBorder="1" applyAlignment="1">
      <x:alignment vertical="center" wrapText="1"/>
    </x:xf>
    <x:xf numFmtId="201" fontId="0" fillId="4" borderId="1" xfId="0" applyNumberFormat="1" applyFont="1" applyFill="1" applyBorder="1" applyAlignment="1">
      <x:alignment vertical="center" wrapText="1"/>
    </x:xf>
    <x:xf numFmtId="200" fontId="0" fillId="5" borderId="1" xfId="0" applyNumberFormat="1" applyFont="1" applyFill="1" applyBorder="1" applyAlignment="1">
      <x:alignment vertical="center" wrapText="1"/>
    </x:xf>
    <x:xf numFmtId="201" fontId="0" fillId="5" borderId="1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10" fillId="0" borderId="0" xfId="0" applyNumberFormat="1" applyFont="1" applyFill="1" applyBorder="1"/>
    <x:xf numFmtId="0" fontId="9" fillId="2" borderId="1" xfId="0" applyNumberFormat="1" applyFont="1" applyFill="1" applyBorder="1" applyAlignment="1">
      <x:alignment vertical="center"/>
    </x:xf>
    <x:xf numFmtId="0" fontId="9" fillId="3" borderId="1" xfId="0" applyNumberFormat="1" applyFont="1" applyFill="1" applyBorder="1" applyAlignment="1">
      <x:alignment horizontal="right" vertical="center"/>
    </x:xf>
    <x:xf numFmtId="200" fontId="9" fillId="3" borderId="1" xfId="0" applyNumberFormat="1" applyFont="1" applyFill="1" applyBorder="1" applyAlignment="1">
      <x:alignment horizontal="right" vertical="center"/>
    </x:xf>
    <x:xf numFmtId="201" fontId="9" fillId="3" borderId="1" xfId="0" applyNumberFormat="1" applyFont="1" applyFill="1" applyBorder="1" applyAlignment="1">
      <x:alignment horizontal="right" vertical="center"/>
    </x:xf>
    <x:xf numFmtId="0" fontId="9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0" fontId="9" fillId="2" borderId="1" xfId="0" applyNumberFormat="1" applyFont="1" applyFill="1" applyBorder="1" applyAlignment="1">
      <x:alignment vertical="top" wrapText="1"/>
    </x:xf>
    <x:xf numFmtId="0" fontId="10" fillId="0" borderId="1" xfId="0" applyNumberFormat="1" applyFont="1" applyFill="1" applyBorder="1" applyAlignment="1">
      <x:alignment vertical="top" wrapText="1"/>
    </x:xf>
    <x:xf numFmtId="0" fontId="9" fillId="2" borderId="1" xfId="0" applyNumberFormat="1" applyFont="1" applyFill="1" applyBorder="1" applyAlignment="1">
      <x:alignment vertical="center" wrapText="1"/>
    </x:xf>
    <x:xf numFmtId="0" fontId="10" fillId="0" borderId="1" xfId="0" applyNumberFormat="1" applyFont="1" applyFill="1" applyBorder="1" applyAlignment="1">
      <x:alignment vertical="center" wrapText="1"/>
    </x:xf>
    <x:xf numFmtId="0" fontId="9" fillId="2" borderId="1" xfId="0" applyNumberFormat="1" applyFont="1" applyFill="1" applyBorder="1" applyAlignment="1">
      <x:alignment horizontal="center" vertical="center" wrapText="1"/>
    </x:xf>
    <x:xf numFmtId="0" fontId="10" fillId="4" borderId="1" xfId="0" applyNumberFormat="1" applyFont="1" applyFill="1" applyBorder="1" applyAlignment="1">
      <x:alignment vertical="center" wrapText="1"/>
    </x:xf>
    <x:xf numFmtId="0" fontId="9" fillId="3" borderId="1" xfId="0" applyNumberFormat="1" applyFont="1" applyFill="1" applyBorder="1" applyAlignment="1">
      <x:alignment vertical="center" wrapText="1"/>
    </x:xf>
    <x:xf numFmtId="0" fontId="9" fillId="3" borderId="1" xfId="0" applyNumberFormat="1" applyFont="1" applyFill="1" applyBorder="1" applyAlignment="1">
      <x:alignment horizontal="center" vertical="center" wrapText="1"/>
    </x:xf>
    <x:xf numFmtId="200" fontId="9" fillId="3" borderId="1" xfId="0" applyNumberFormat="1" applyFont="1" applyFill="1" applyBorder="1" applyAlignment="1">
      <x:alignment horizontal="center" vertical="center" wrapText="1"/>
    </x:xf>
    <x:xf numFmtId="0" fontId="9" fillId="5" borderId="1" xfId="0" applyNumberFormat="1" applyFont="1" applyFill="1" applyBorder="1" applyAlignment="1">
      <x:alignment horizontal="center" vertical="center" wrapText="1"/>
    </x:xf>
    <x:xf numFmtId="202" fontId="10" fillId="4" borderId="1" xfId="0" applyNumberFormat="1" applyFont="1" applyFill="1" applyBorder="1" applyAlignment="1">
      <x:alignment vertical="center" wrapText="1"/>
    </x:xf>
    <x:xf numFmtId="200" fontId="10" fillId="4" borderId="1" xfId="0" applyNumberFormat="1" applyFont="1" applyFill="1" applyBorder="1" applyAlignment="1">
      <x:alignment vertical="center" wrapText="1"/>
    </x:xf>
    <x:xf numFmtId="200" fontId="10" fillId="5" borderId="1" xfId="0" applyNumberFormat="1" applyFont="1" applyFill="1" applyBorder="1" applyAlignment="1">
      <x:alignment vertical="center" wrapText="1"/>
    </x:xf>
    <x:xf numFmtId="201" fontId="10" fillId="4" borderId="1" xfId="0" applyNumberFormat="1" applyFont="1" applyFill="1" applyBorder="1" applyAlignment="1">
      <x:alignment vertical="center" wrapText="1"/>
    </x:xf>
    <x:xf numFmtId="0" fontId="10" fillId="5" borderId="1" xfId="0" applyNumberFormat="1" applyFont="1" applyFill="1" applyBorder="1" applyAlignment="1">
      <x:alignment vertical="center" wrapText="1"/>
    </x:xf>
    <x:xf numFmtId="201" fontId="10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b1dcce339a4d88" /><Relationship Type="http://schemas.openxmlformats.org/officeDocument/2006/relationships/theme" Target="/xl/theme/theme1.xml" Id="R06cc803c3b6047d6" /><Relationship Type="http://schemas.openxmlformats.org/officeDocument/2006/relationships/sharedStrings" Target="/xl/sharedStrings.xml" Id="R4d2fb52b52534832" /><Relationship Type="http://schemas.openxmlformats.org/officeDocument/2006/relationships/worksheet" Target="/xl/worksheets/sheet1.xml" Id="R260232fef2be4f0c" /><Relationship Type="http://schemas.openxmlformats.org/officeDocument/2006/relationships/worksheet" Target="/xl/worksheets/sheet2.xml" Id="R9cba81ab043640bd" /><Relationship Type="http://schemas.openxmlformats.org/officeDocument/2006/relationships/worksheet" Target="/xl/worksheets/sheet3.xml" Id="R91d2d6a4ee694f82" /><Relationship Type="http://schemas.openxmlformats.org/officeDocument/2006/relationships/worksheet" Target="/xl/worksheets/sheet4.xml" Id="R093d7fc454b74623" /><Relationship Type="http://schemas.openxmlformats.org/officeDocument/2006/relationships/worksheet" Target="/xl/worksheets/sheet5.xml" Id="Rf83a71c0f5da49ee" /><Relationship Type="http://schemas.openxmlformats.org/officeDocument/2006/relationships/worksheet" Target="/xl/worksheets/sheet6.xml" Id="Rd2c3288a0fe04847" /><Relationship Type="http://schemas.openxmlformats.org/officeDocument/2006/relationships/worksheet" Target="/xl/worksheets/sheet7.xml" Id="Rc6a68ecb5b544657" /><Relationship Type="http://schemas.openxmlformats.org/officeDocument/2006/relationships/worksheet" Target="/xl/worksheets/sheet8.xml" Id="R37be61f333934bc0" /><Relationship Type="http://schemas.openxmlformats.org/officeDocument/2006/relationships/worksheet" Target="/xl/worksheets/sheet9.xml" Id="Rfabf40aa3cda45d7" /><Relationship Type="http://schemas.openxmlformats.org/officeDocument/2006/relationships/worksheet" Target="/xl/worksheets/sheet10.xml" Id="Rec9097cf4f5e408a" /><Relationship Type="http://schemas.openxmlformats.org/officeDocument/2006/relationships/worksheet" Target="/xl/worksheets/sheet11.xml" Id="Rdc02a3dba0e14fa5" /><Relationship Type="http://schemas.openxmlformats.org/officeDocument/2006/relationships/worksheet" Target="/xl/worksheets/sheet12.xml" Id="R0117b6dadec743e1" /><Relationship Type="http://schemas.openxmlformats.org/officeDocument/2006/relationships/worksheet" Target="/xl/worksheets/sheet13.xml" Id="R4e9f18c50c8848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469999313354492" hidden="0" customWidth="1"/>
    <x:col min="2" max="2" width="19.020000457763672" hidden="0" customWidth="1"/>
  </x:cols>
  <x:sheetData>
    <x:row r="1">
      <x:c r="A1" s="49" t="str">
        <x:v>Power 스프레드시트 대시보드</x:v>
      </x:c>
      <x:c r="B1" s="50"/>
    </x:row>
    <x:row r="2">
      <x:c r="A2" s="49" t="str">
        <x:v>각 탭에 데이터를 입력하면 주요 현황이 자동 집계됩니다.</x:v>
      </x:c>
      <x:c r="B2" s="50"/>
    </x:row>
    <x:row r="3">
      <x:c r="A3" s="50"/>
      <x:c r="B3" s="50"/>
    </x:row>
    <x:row r="4">
      <x:c r="A4" s="45" t="str">
        <x:v>체크리스트 총 항목</x:v>
      </x:c>
      <x:c r="B4" s="46" t="n">
        <x:f>COUNTA('04_체크리스트'!D10:D209)</x:f>
        <x:v>3</x:v>
      </x:c>
    </x:row>
    <x:row r="5">
      <x:c r="A5" s="45" t="str">
        <x:v>체크리스트 완료</x:v>
      </x:c>
      <x:c r="B5" s="46" t="n">
        <x:f>COUNTIF('04_체크리스트'!G10:G209,"완료")</x:f>
        <x:v>0</x:v>
      </x:c>
    </x:row>
    <x:row r="6">
      <x:c r="A6" s="45" t="str">
        <x:v>체크리스트 완료율</x:v>
      </x:c>
      <x:c r="B6" s="47" t="n">
        <x:f>IF(B4=0,0,B5/B4)</x:f>
        <x:v>0</x:v>
      </x:c>
    </x:row>
    <x:row r="7">
      <x:c r="A7" s="45" t="str">
        <x:v>인원관리 대상자</x:v>
      </x:c>
      <x:c r="B7" s="46" t="n">
        <x:f>COUNTA('06_인원관리'!D5:D204)</x:f>
        <x:v>0</x:v>
      </x:c>
    </x:row>
    <x:row r="8">
      <x:c r="A8" s="45" t="str">
        <x:v>인원관리 금액합계</x:v>
      </x:c>
      <x:c r="B8" s="48" t="n">
        <x:f>SUM('06_인원관리'!F5:F204)</x:f>
        <x:v>0</x:v>
      </x:c>
    </x:row>
    <x:row r="9">
      <x:c r="A9" s="45" t="str">
        <x:v>예상 지출</x:v>
      </x:c>
      <x:c r="B9" s="48" t="n">
        <x:f>SUM('09_예산상세'!C5:C204)</x:f>
        <x:v>0</x:v>
      </x:c>
    </x:row>
    <x:row r="10">
      <x:c r="A10" s="45" t="str">
        <x:v>가용 예산</x:v>
      </x:c>
      <x:c r="B10" s="48" t="n">
        <x:f>SUMIF('08_나의예산'!B5:B204,"가용",'08_나의예산'!D5:D204)</x:f>
        <x:v>0</x:v>
      </x:c>
    </x:row>
    <x:row r="11">
      <x:c r="A11" s="45" t="str">
        <x:v>전체 예산</x:v>
      </x:c>
      <x:c r="B11" s="48" t="n">
        <x:f>SUM('08_나의예산'!D5:D204)</x:f>
        <x:v>0</x:v>
      </x:c>
    </x:row>
    <x:row r="12">
      <x:c r="A12" s="45" t="str">
        <x:v>가용 기준 여유</x:v>
      </x:c>
      <x:c r="B12" s="48" t="n">
        <x:f>B10-B9</x:f>
        <x:v>0</x:v>
      </x:c>
    </x:row>
    <x:row r="13">
      <x:c r="A13" s="45" t="str">
        <x:v>전체 기준 여유</x:v>
      </x:c>
      <x:c r="B13" s="48" t="n">
        <x:f>B11-B9</x:f>
        <x:v>0</x:v>
      </x:c>
    </x:row>
    <x:row r="14">
      <x:c r="A14" s="45" t="str">
        <x:v>스드메 총 견적</x:v>
      </x:c>
      <x:c r="B14" s="48" t="n">
        <x:f>SUM('11_스드메'!F5:F204)</x:f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34000015258789" hidden="0" customWidth="1"/>
    <x:col min="2" max="2" width="75.45999908447266" hidden="0" customWidth="1"/>
  </x:cols>
  <x:sheetData>
    <x:row r="1">
      <x:c r="A1" s="49" t="str">
        <x:v>사용방법</x:v>
      </x:c>
      <x:c r="B1" s="50"/>
    </x:row>
    <x:row r="2">
      <x:c r="A2" s="50"/>
      <x:c r="B2" s="50"/>
    </x:row>
    <x:row r="3">
      <x:c r="A3" s="53" t="str">
        <x:v>공통</x:v>
      </x:c>
      <x:c r="B3" s="54" t="str">
        <x:v>흰색 셀에 입력하고 연녹색 셀은 자동 계산값으로 사용합니다.</x:v>
      </x:c>
    </x:row>
    <x:row r="4">
      <x:c r="A4" s="53" t="str">
        <x:v>분류</x:v>
      </x:c>
      <x:c r="B4" s="54" t="str">
        <x:v>체크리스트/인원관리/예산관리는 분류 탭을 먼저 작성한 뒤 본문 탭에서 선택합니다.</x:v>
      </x:c>
    </x:row>
    <x:row r="5">
      <x:c r="A5" s="53" t="str">
        <x:v>정렬</x:v>
      </x:c>
      <x:c r="B5" s="54" t="str">
        <x:v>웹앱의 드래그 정렬 대신 순서 컬럼 숫자를 사용합니다.</x:v>
      </x:c>
    </x:row>
    <x:row r="6">
      <x:c r="A6" s="53" t="str">
        <x:v>체크리스트</x:v>
      </x:c>
      <x:c r="B6" s="54" t="str">
        <x:v>완료여부를 완료/미완료로 선택하면 대시보드 진행률이 계산됩니다.</x:v>
      </x:c>
    </x:row>
    <x:row r="7">
      <x:c r="A7" s="53" t="str">
        <x:v>인원관리</x:v>
      </x:c>
      <x:c r="B7" s="54" t="str">
        <x:v>대분류+소분류 기준으로 퍼센티지, 대상자 수, 적용 수가 계산됩니다.</x:v>
      </x:c>
    </x:row>
    <x:row r="8">
      <x:c r="A8" s="53" t="str">
        <x:v>예산관리</x:v>
      </x:c>
      <x:c r="B8" s="54" t="str">
        <x:v>나의예산과 예산상세를 입력하면 예산분류와 대시보드가 집계됩니다.</x:v>
      </x:c>
    </x:row>
    <x:row r="9">
      <x:c r="A9" s="53" t="str">
        <x:v>웨딩홀</x:v>
      </x:c>
      <x:c r="B9" s="54" t="str">
        <x:v>간단하게 보기 대신 전체 컬럼을 한 시트에서 관리합니다.</x:v>
      </x:c>
    </x:row>
    <x:row r="10">
      <x:c r="A10" s="53" t="str">
        <x:v>스드메</x:v>
      </x:c>
      <x:c r="B10" s="54" t="str">
        <x:v>스튜디오/드레스/메이크업 금액을 입력하면 합계금액이 계산됩니다.</x:v>
      </x:c>
    </x:row>
    <x:row r="11">
      <x:c r="A11" s="53" t="str">
        <x:v>보금자리</x:v>
      </x:c>
      <x:c r="B11" s="54" t="str">
        <x:v>주차공간은 여유/혼잡 중 선택하고 해방향은 텍스트로 입력합니다.</x:v>
      </x:c>
    </x:row>
    <x:row r="12">
      <x:c r="A12" s="53" t="str">
        <x:v>주의</x:v>
      </x:c>
      <x:c r="B12" s="54" t="str">
        <x:v>이 파일은 DB와 자동 동기화되지 않는 스프레드시트 버전입니다.</x:v>
      </x:c>
    </x:row>
    <x:row r="13">
      <x:c r="A13" s="53" t="str">
        <x:v>구글시트</x:v>
      </x:c>
      <x:c r="B13" s="54" t="str">
        <x:v>엑셀 파일을 Google Drive에 업로드하면 Google Sheets에서도 대부분 사용할 수 있습니다.</x:v>
      </x:c>
    </x:row>
    <x:row r="14">
      <x:c r="A14" s="53" t="str">
        <x:v>백업</x:v>
      </x:c>
      <x:c r="B14" s="54" t="str">
        <x:v>웹앱 데이터를 별도로 내려받아 이 파일에 붙여넣는 방식으로 사용할 수 있습니다.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469999313354492" hidden="0" customWidth="1"/>
    <x:col min="2" max="2" width="21.469999313354492" hidden="0" customWidth="1"/>
    <x:col min="3" max="3" width="50.91999816894531" hidden="0" customWidth="1"/>
  </x:cols>
  <x:sheetData>
    <x:row r="1">
      <x:c r="A1" s="49" t="str">
        <x:v>설정</x:v>
      </x:c>
      <x:c r="B1" s="50"/>
      <x:c r="C1" s="50"/>
    </x:row>
    <x:row r="2">
      <x:c r="A2" s="49" t="str">
        <x:v>스프레드시트 버전의 표시 옵션을 입력합니다.</x:v>
      </x:c>
      <x:c r="B2" s="50"/>
      <x:c r="C2" s="50"/>
    </x:row>
    <x:row r="3">
      <x:c r="A3" s="50"/>
      <x:c r="B3" s="50"/>
      <x:c r="C3" s="50"/>
    </x:row>
    <x:row r="4">
      <x:c r="A4" s="55" t="str">
        <x:v>항목</x:v>
      </x:c>
      <x:c r="B4" s="55" t="str">
        <x:v>값</x:v>
      </x:c>
      <x:c r="C4" s="55" t="str">
        <x:v>메모</x:v>
      </x:c>
    </x:row>
    <x:row r="5">
      <x:c r="A5" s="56" t="str">
        <x:v>관리자 닉네임</x:v>
      </x:c>
      <x:c r="B5" s="56" t="str">
        <x:v>zeroy</x:v>
      </x:c>
      <x:c r="C5" s="56" t="str">
        <x:v>표시용 값입니다.</x:v>
      </x:c>
    </x:row>
    <x:row r="6">
      <x:c r="A6" s="56" t="str">
        <x:v>첫 화면 메뉴</x:v>
      </x:c>
      <x:c r="B6" s="56" t="str">
        <x:v>체크리스트</x:v>
      </x:c>
      <x:c r="C6" s="56" t="str">
        <x:v>웹앱 설정을 참고하는 입력값입니다.</x:v>
      </x:c>
    </x:row>
    <x:row r="7">
      <x:c r="A7" s="56" t="str">
        <x:v>다크모드</x:v>
      </x:c>
      <x:c r="B7" s="56" t="str">
        <x:v>OFF</x:v>
      </x:c>
      <x:c r="C7" s="56" t="str">
        <x:v>엑셀 자체 테마는 자동 변경되지 않습니다.</x:v>
      </x:c>
    </x:row>
    <x:row r="8">
      <x:c r="A8" s="56" t="str">
        <x:v>기준 통화</x:v>
      </x:c>
      <x:c r="B8" s="56" t="str">
        <x:v>KRW</x:v>
      </x:c>
      <x:c r="C8" s="56" t="str">
        <x:v>금액 컬럼은 원화 기준입니다.</x:v>
      </x:c>
    </x:row>
    <x:row r="9">
      <x:c r="A9" s="56"/>
      <x:c r="B9" s="56"/>
      <x:c r="C9" s="56"/>
    </x:row>
    <x:row r="10">
      <x:c r="A10" s="56"/>
      <x:c r="B10" s="56"/>
      <x:c r="C10" s="56"/>
    </x:row>
    <x:row r="11">
      <x:c r="A11" s="56"/>
      <x:c r="B11" s="56"/>
      <x:c r="C11" s="56"/>
    </x:row>
    <x:row r="12">
      <x:c r="A12" s="56"/>
      <x:c r="B12" s="56"/>
      <x:c r="C12" s="56"/>
    </x:row>
    <x:row r="13">
      <x:c r="A13" s="56"/>
      <x:c r="B13" s="56"/>
      <x:c r="C13" s="56"/>
    </x:row>
    <x:row r="14">
      <x:c r="A14" s="56"/>
      <x:c r="B14" s="56"/>
      <x:c r="C14" s="56"/>
    </x:row>
    <x:row r="15">
      <x:c r="A15" s="56"/>
      <x:c r="B15" s="56"/>
      <x:c r="C15" s="56"/>
    </x:row>
    <x:row r="16">
      <x:c r="A16" s="56"/>
      <x:c r="B16" s="56"/>
      <x:c r="C16" s="56"/>
    </x:row>
    <x:row r="17">
      <x:c r="A17" s="56"/>
      <x:c r="B17" s="56"/>
      <x:c r="C17" s="56"/>
    </x:row>
    <x:row r="18">
      <x:c r="A18" s="56"/>
      <x:c r="B18" s="56"/>
      <x:c r="C18" s="56"/>
    </x:row>
    <x:row r="19">
      <x:c r="A19" s="56"/>
      <x:c r="B19" s="56"/>
      <x:c r="C19" s="56"/>
    </x:row>
    <x:row r="20">
      <x:c r="A20" s="56"/>
      <x:c r="B20" s="56"/>
      <x:c r="C20" s="56"/>
    </x:row>
    <x:row r="21">
      <x:c r="A21" s="56"/>
      <x:c r="B21" s="56"/>
      <x:c r="C21" s="56"/>
    </x:row>
    <x:row r="22">
      <x:c r="A22" s="56"/>
      <x:c r="B22" s="56"/>
      <x:c r="C22" s="56"/>
    </x:row>
    <x:row r="23">
      <x:c r="A23" s="56"/>
      <x:c r="B23" s="56"/>
      <x:c r="C23" s="56"/>
    </x:row>
    <x:row r="24">
      <x:c r="A24" s="56"/>
      <x:c r="B24" s="56"/>
      <x:c r="C24" s="56"/>
    </x:row>
    <x:row r="25">
      <x:c r="A25" s="56"/>
      <x:c r="B25" s="56"/>
      <x:c r="C25" s="56"/>
    </x:row>
    <x:row r="26">
      <x:c r="A26" s="56"/>
      <x:c r="B26" s="56"/>
      <x:c r="C26" s="56"/>
    </x:row>
    <x:row r="27">
      <x:c r="A27" s="56"/>
      <x:c r="B27" s="56"/>
      <x:c r="C27" s="56"/>
    </x:row>
    <x:row r="28">
      <x:c r="A28" s="56"/>
      <x:c r="B28" s="56"/>
      <x:c r="C28" s="56"/>
    </x:row>
    <x:row r="29">
      <x:c r="A29" s="56"/>
      <x:c r="B29" s="56"/>
      <x:c r="C29" s="56"/>
    </x:row>
    <x:row r="30">
      <x:c r="A30" s="56"/>
      <x:c r="B30" s="56"/>
      <x:c r="C30" s="56"/>
    </x:row>
    <x:row r="31">
      <x:c r="A31" s="56"/>
      <x:c r="B31" s="56"/>
      <x:c r="C31" s="56"/>
    </x:row>
    <x:row r="32">
      <x:c r="A32" s="56"/>
      <x:c r="B32" s="56"/>
      <x:c r="C32" s="56"/>
    </x:row>
    <x:row r="33">
      <x:c r="A33" s="56"/>
      <x:c r="B33" s="56"/>
      <x:c r="C33" s="56"/>
    </x:row>
    <x:row r="34">
      <x:c r="A34" s="56"/>
      <x:c r="B34" s="56"/>
      <x:c r="C34" s="56"/>
    </x:row>
    <x:row r="35">
      <x:c r="A35" s="56"/>
      <x:c r="B35" s="56"/>
      <x:c r="C35" s="56"/>
    </x:row>
    <x:row r="36">
      <x:c r="A36" s="56"/>
      <x:c r="B36" s="56"/>
      <x:c r="C36" s="56"/>
    </x:row>
    <x:row r="37">
      <x:c r="A37" s="56"/>
      <x:c r="B37" s="56"/>
      <x:c r="C37" s="56"/>
    </x:row>
    <x:row r="38">
      <x:c r="A38" s="56"/>
      <x:c r="B38" s="56"/>
      <x:c r="C38" s="56"/>
    </x:row>
    <x:row r="39">
      <x:c r="A39" s="56"/>
      <x:c r="B39" s="56"/>
      <x:c r="C39" s="56"/>
    </x:row>
    <x:row r="40">
      <x:c r="A40" s="56"/>
      <x:c r="B40" s="56"/>
      <x:c r="C40" s="56"/>
    </x:row>
    <x:row r="41">
      <x:c r="A41" s="56"/>
      <x:c r="B41" s="56"/>
      <x:c r="C41" s="56"/>
    </x:row>
    <x:row r="42">
      <x:c r="A42" s="56"/>
      <x:c r="B42" s="56"/>
      <x:c r="C42" s="56"/>
    </x:row>
    <x:row r="43">
      <x:c r="A43" s="56"/>
      <x:c r="B43" s="56"/>
      <x:c r="C43" s="56"/>
    </x:row>
    <x:row r="44">
      <x:c r="A44" s="56"/>
      <x:c r="B44" s="56"/>
      <x:c r="C44" s="56"/>
    </x:row>
    <x:row r="45">
      <x:c r="A45" s="56"/>
      <x:c r="B45" s="56"/>
      <x:c r="C45" s="56"/>
    </x:row>
    <x:row r="46">
      <x:c r="A46" s="56"/>
      <x:c r="B46" s="56"/>
      <x:c r="C46" s="56"/>
    </x:row>
    <x:row r="47">
      <x:c r="A47" s="56"/>
      <x:c r="B47" s="56"/>
      <x:c r="C47" s="56"/>
    </x:row>
    <x:row r="48">
      <x:c r="A48" s="56"/>
      <x:c r="B48" s="56"/>
      <x:c r="C48" s="56"/>
    </x:row>
    <x:row r="49">
      <x:c r="A49" s="56"/>
      <x:c r="B49" s="56"/>
      <x:c r="C49" s="56"/>
    </x:row>
    <x:row r="50">
      <x:c r="A50" s="56"/>
      <x:c r="B50" s="56"/>
      <x:c r="C50" s="56"/>
    </x:row>
    <x:row r="51">
      <x:c r="A51" s="56"/>
      <x:c r="B51" s="56"/>
      <x:c r="C51" s="56"/>
    </x:row>
    <x:row r="52">
      <x:c r="A52" s="56"/>
      <x:c r="B52" s="56"/>
      <x:c r="C52" s="56"/>
    </x:row>
    <x:row r="53">
      <x:c r="A53" s="56"/>
      <x:c r="B53" s="56"/>
      <x:c r="C53" s="56"/>
    </x:row>
    <x:row r="54">
      <x:c r="A54" s="56"/>
      <x:c r="B54" s="56"/>
      <x:c r="C54" s="56"/>
    </x:row>
    <x:row r="55">
      <x:c r="A55" s="56"/>
      <x:c r="B55" s="56"/>
      <x:c r="C55" s="56"/>
    </x:row>
    <x:row r="56">
      <x:c r="A56" s="56"/>
      <x:c r="B56" s="56"/>
      <x:c r="C56" s="56"/>
    </x:row>
    <x:row r="57">
      <x:c r="A57" s="56"/>
      <x:c r="B57" s="56"/>
      <x:c r="C57" s="56"/>
    </x:row>
    <x:row r="58">
      <x:c r="A58" s="56"/>
      <x:c r="B58" s="56"/>
      <x:c r="C58" s="56"/>
    </x:row>
    <x:row r="59">
      <x:c r="A59" s="56"/>
      <x:c r="B59" s="56"/>
      <x:c r="C59" s="56"/>
    </x:row>
    <x:row r="60">
      <x:c r="A60" s="56"/>
      <x:c r="B60" s="56"/>
      <x:c r="C60" s="56"/>
    </x:row>
    <x:row r="61">
      <x:c r="A61" s="56"/>
      <x:c r="B61" s="56"/>
      <x:c r="C61" s="56"/>
    </x:row>
    <x:row r="62">
      <x:c r="A62" s="56"/>
      <x:c r="B62" s="56"/>
      <x:c r="C62" s="56"/>
    </x:row>
    <x:row r="63">
      <x:c r="A63" s="56"/>
      <x:c r="B63" s="56"/>
      <x:c r="C63" s="56"/>
    </x:row>
    <x:row r="64">
      <x:c r="A64" s="56"/>
      <x:c r="B64" s="56"/>
      <x:c r="C64" s="56"/>
    </x:row>
    <x:row r="65">
      <x:c r="A65" s="56"/>
      <x:c r="B65" s="56"/>
      <x:c r="C65" s="56"/>
    </x:row>
    <x:row r="66">
      <x:c r="A66" s="56"/>
      <x:c r="B66" s="56"/>
      <x:c r="C66" s="56"/>
    </x:row>
    <x:row r="67">
      <x:c r="A67" s="56"/>
      <x:c r="B67" s="56"/>
      <x:c r="C67" s="56"/>
    </x:row>
    <x:row r="68">
      <x:c r="A68" s="56"/>
      <x:c r="B68" s="56"/>
      <x:c r="C68" s="56"/>
    </x:row>
    <x:row r="69">
      <x:c r="A69" s="56"/>
      <x:c r="B69" s="56"/>
      <x:c r="C69" s="56"/>
    </x:row>
    <x:row r="70">
      <x:c r="A70" s="56"/>
      <x:c r="B70" s="56"/>
      <x:c r="C70" s="56"/>
    </x:row>
    <x:row r="71">
      <x:c r="A71" s="56"/>
      <x:c r="B71" s="56"/>
      <x:c r="C71" s="56"/>
    </x:row>
    <x:row r="72">
      <x:c r="A72" s="56"/>
      <x:c r="B72" s="56"/>
      <x:c r="C72" s="56"/>
    </x:row>
    <x:row r="73">
      <x:c r="A73" s="56"/>
      <x:c r="B73" s="56"/>
      <x:c r="C73" s="56"/>
    </x:row>
    <x:row r="74">
      <x:c r="A74" s="56"/>
      <x:c r="B74" s="56"/>
      <x:c r="C74" s="56"/>
    </x:row>
    <x:row r="75">
      <x:c r="A75" s="56"/>
      <x:c r="B75" s="56"/>
      <x:c r="C75" s="56"/>
    </x:row>
    <x:row r="76">
      <x:c r="A76" s="56"/>
      <x:c r="B76" s="56"/>
      <x:c r="C76" s="56"/>
    </x:row>
    <x:row r="77">
      <x:c r="A77" s="56"/>
      <x:c r="B77" s="56"/>
      <x:c r="C77" s="56"/>
    </x:row>
    <x:row r="78">
      <x:c r="A78" s="56"/>
      <x:c r="B78" s="56"/>
      <x:c r="C78" s="56"/>
    </x:row>
    <x:row r="79">
      <x:c r="A79" s="56"/>
      <x:c r="B79" s="56"/>
      <x:c r="C79" s="56"/>
    </x:row>
    <x:row r="80">
      <x:c r="A80" s="56"/>
      <x:c r="B80" s="56"/>
      <x:c r="C80" s="56"/>
    </x:row>
    <x:row r="81">
      <x:c r="A81" s="56"/>
      <x:c r="B81" s="56"/>
      <x:c r="C81" s="56"/>
    </x:row>
    <x:row r="82">
      <x:c r="A82" s="56"/>
      <x:c r="B82" s="56"/>
      <x:c r="C82" s="56"/>
    </x:row>
    <x:row r="83">
      <x:c r="A83" s="56"/>
      <x:c r="B83" s="56"/>
      <x:c r="C83" s="56"/>
    </x:row>
    <x:row r="84">
      <x:c r="A84" s="56"/>
      <x:c r="B84" s="56"/>
      <x:c r="C84" s="56"/>
    </x:row>
    <x:row r="85">
      <x:c r="A85" s="56"/>
      <x:c r="B85" s="56"/>
      <x:c r="C85" s="56"/>
    </x:row>
    <x:row r="86">
      <x:c r="A86" s="56"/>
      <x:c r="B86" s="56"/>
      <x:c r="C86" s="56"/>
    </x:row>
    <x:row r="87">
      <x:c r="A87" s="56"/>
      <x:c r="B87" s="56"/>
      <x:c r="C87" s="56"/>
    </x:row>
    <x:row r="88">
      <x:c r="A88" s="56"/>
      <x:c r="B88" s="56"/>
      <x:c r="C88" s="56"/>
    </x:row>
    <x:row r="89">
      <x:c r="A89" s="56"/>
      <x:c r="B89" s="56"/>
      <x:c r="C89" s="56"/>
    </x:row>
    <x:row r="90">
      <x:c r="A90" s="56"/>
      <x:c r="B90" s="56"/>
      <x:c r="C90" s="56"/>
    </x:row>
    <x:row r="91">
      <x:c r="A91" s="56"/>
      <x:c r="B91" s="56"/>
      <x:c r="C91" s="56"/>
    </x:row>
    <x:row r="92">
      <x:c r="A92" s="56"/>
      <x:c r="B92" s="56"/>
      <x:c r="C92" s="56"/>
    </x:row>
    <x:row r="93">
      <x:c r="A93" s="56"/>
      <x:c r="B93" s="56"/>
      <x:c r="C93" s="56"/>
    </x:row>
    <x:row r="94">
      <x:c r="A94" s="56"/>
      <x:c r="B94" s="56"/>
      <x:c r="C94" s="56"/>
    </x:row>
    <x:row r="95">
      <x:c r="A95" s="56"/>
      <x:c r="B95" s="56"/>
      <x:c r="C95" s="56"/>
    </x:row>
    <x:row r="96">
      <x:c r="A96" s="56"/>
      <x:c r="B96" s="56"/>
      <x:c r="C96" s="56"/>
    </x:row>
    <x:row r="97">
      <x:c r="A97" s="56"/>
      <x:c r="B97" s="56"/>
      <x:c r="C97" s="56"/>
    </x:row>
    <x:row r="98">
      <x:c r="A98" s="56"/>
      <x:c r="B98" s="56"/>
      <x:c r="C98" s="56"/>
    </x:row>
    <x:row r="99">
      <x:c r="A99" s="56"/>
      <x:c r="B99" s="56"/>
      <x:c r="C99" s="56"/>
    </x:row>
    <x:row r="100">
      <x:c r="A100" s="56"/>
      <x:c r="B100" s="56"/>
      <x:c r="C100" s="56"/>
    </x:row>
    <x:row r="101">
      <x:c r="A101" s="56"/>
      <x:c r="B101" s="56"/>
      <x:c r="C101" s="56"/>
    </x:row>
    <x:row r="102">
      <x:c r="A102" s="56"/>
      <x:c r="B102" s="56"/>
      <x:c r="C102" s="56"/>
    </x:row>
    <x:row r="103">
      <x:c r="A103" s="56"/>
      <x:c r="B103" s="56"/>
      <x:c r="C103" s="56"/>
    </x:row>
    <x:row r="104">
      <x:c r="A104" s="56"/>
      <x:c r="B104" s="56"/>
      <x:c r="C104" s="56"/>
    </x:row>
    <x:row r="105">
      <x:c r="A105" s="56"/>
      <x:c r="B105" s="56"/>
      <x:c r="C105" s="56"/>
    </x:row>
    <x:row r="106">
      <x:c r="A106" s="56"/>
      <x:c r="B106" s="56"/>
      <x:c r="C106" s="56"/>
    </x:row>
    <x:row r="107">
      <x:c r="A107" s="56"/>
      <x:c r="B107" s="56"/>
      <x:c r="C107" s="56"/>
    </x:row>
    <x:row r="108">
      <x:c r="A108" s="56"/>
      <x:c r="B108" s="56"/>
      <x:c r="C108" s="56"/>
    </x:row>
    <x:row r="109">
      <x:c r="A109" s="56"/>
      <x:c r="B109" s="56"/>
      <x:c r="C109" s="56"/>
    </x:row>
    <x:row r="110">
      <x:c r="A110" s="56"/>
      <x:c r="B110" s="56"/>
      <x:c r="C110" s="56"/>
    </x:row>
    <x:row r="111">
      <x:c r="A111" s="56"/>
      <x:c r="B111" s="56"/>
      <x:c r="C111" s="56"/>
    </x:row>
    <x:row r="112">
      <x:c r="A112" s="56"/>
      <x:c r="B112" s="56"/>
      <x:c r="C112" s="56"/>
    </x:row>
    <x:row r="113">
      <x:c r="A113" s="56"/>
      <x:c r="B113" s="56"/>
      <x:c r="C113" s="56"/>
    </x:row>
    <x:row r="114">
      <x:c r="A114" s="56"/>
      <x:c r="B114" s="56"/>
      <x:c r="C114" s="56"/>
    </x:row>
    <x:row r="115">
      <x:c r="A115" s="56"/>
      <x:c r="B115" s="56"/>
      <x:c r="C115" s="56"/>
    </x:row>
    <x:row r="116">
      <x:c r="A116" s="56"/>
      <x:c r="B116" s="56"/>
      <x:c r="C116" s="56"/>
    </x:row>
    <x:row r="117">
      <x:c r="A117" s="56"/>
      <x:c r="B117" s="56"/>
      <x:c r="C117" s="56"/>
    </x:row>
    <x:row r="118">
      <x:c r="A118" s="56"/>
      <x:c r="B118" s="56"/>
      <x:c r="C118" s="56"/>
    </x:row>
    <x:row r="119">
      <x:c r="A119" s="56"/>
      <x:c r="B119" s="56"/>
      <x:c r="C119" s="56"/>
    </x:row>
    <x:row r="120">
      <x:c r="A120" s="56"/>
      <x:c r="B120" s="56"/>
      <x:c r="C120" s="56"/>
    </x:row>
    <x:row r="121">
      <x:c r="A121" s="56"/>
      <x:c r="B121" s="56"/>
      <x:c r="C121" s="56"/>
    </x:row>
    <x:row r="122">
      <x:c r="A122" s="56"/>
      <x:c r="B122" s="56"/>
      <x:c r="C122" s="56"/>
    </x:row>
    <x:row r="123">
      <x:c r="A123" s="56"/>
      <x:c r="B123" s="56"/>
      <x:c r="C123" s="56"/>
    </x:row>
    <x:row r="124">
      <x:c r="A124" s="56"/>
      <x:c r="B124" s="56"/>
      <x:c r="C124" s="56"/>
    </x:row>
    <x:row r="125">
      <x:c r="A125" s="56"/>
      <x:c r="B125" s="56"/>
      <x:c r="C125" s="56"/>
    </x:row>
    <x:row r="126">
      <x:c r="A126" s="56"/>
      <x:c r="B126" s="56"/>
      <x:c r="C126" s="56"/>
    </x:row>
    <x:row r="127">
      <x:c r="A127" s="56"/>
      <x:c r="B127" s="56"/>
      <x:c r="C127" s="56"/>
    </x:row>
    <x:row r="128">
      <x:c r="A128" s="56"/>
      <x:c r="B128" s="56"/>
      <x:c r="C128" s="56"/>
    </x:row>
    <x:row r="129">
      <x:c r="A129" s="56"/>
      <x:c r="B129" s="56"/>
      <x:c r="C129" s="56"/>
    </x:row>
    <x:row r="130">
      <x:c r="A130" s="56"/>
      <x:c r="B130" s="56"/>
      <x:c r="C130" s="56"/>
    </x:row>
    <x:row r="131">
      <x:c r="A131" s="56"/>
      <x:c r="B131" s="56"/>
      <x:c r="C131" s="56"/>
    </x:row>
    <x:row r="132">
      <x:c r="A132" s="56"/>
      <x:c r="B132" s="56"/>
      <x:c r="C132" s="56"/>
    </x:row>
    <x:row r="133">
      <x:c r="A133" s="56"/>
      <x:c r="B133" s="56"/>
      <x:c r="C133" s="56"/>
    </x:row>
    <x:row r="134">
      <x:c r="A134" s="56"/>
      <x:c r="B134" s="56"/>
      <x:c r="C134" s="56"/>
    </x:row>
    <x:row r="135">
      <x:c r="A135" s="56"/>
      <x:c r="B135" s="56"/>
      <x:c r="C135" s="56"/>
    </x:row>
    <x:row r="136">
      <x:c r="A136" s="56"/>
      <x:c r="B136" s="56"/>
      <x:c r="C136" s="56"/>
    </x:row>
    <x:row r="137">
      <x:c r="A137" s="56"/>
      <x:c r="B137" s="56"/>
      <x:c r="C137" s="56"/>
    </x:row>
    <x:row r="138">
      <x:c r="A138" s="56"/>
      <x:c r="B138" s="56"/>
      <x:c r="C138" s="56"/>
    </x:row>
    <x:row r="139">
      <x:c r="A139" s="56"/>
      <x:c r="B139" s="56"/>
      <x:c r="C139" s="56"/>
    </x:row>
    <x:row r="140">
      <x:c r="A140" s="56"/>
      <x:c r="B140" s="56"/>
      <x:c r="C140" s="56"/>
    </x:row>
    <x:row r="141">
      <x:c r="A141" s="56"/>
      <x:c r="B141" s="56"/>
      <x:c r="C141" s="56"/>
    </x:row>
    <x:row r="142">
      <x:c r="A142" s="56"/>
      <x:c r="B142" s="56"/>
      <x:c r="C142" s="56"/>
    </x:row>
    <x:row r="143">
      <x:c r="A143" s="56"/>
      <x:c r="B143" s="56"/>
      <x:c r="C143" s="56"/>
    </x:row>
    <x:row r="144">
      <x:c r="A144" s="56"/>
      <x:c r="B144" s="56"/>
      <x:c r="C144" s="56"/>
    </x:row>
    <x:row r="145">
      <x:c r="A145" s="56"/>
      <x:c r="B145" s="56"/>
      <x:c r="C145" s="56"/>
    </x:row>
    <x:row r="146">
      <x:c r="A146" s="56"/>
      <x:c r="B146" s="56"/>
      <x:c r="C146" s="56"/>
    </x:row>
    <x:row r="147">
      <x:c r="A147" s="56"/>
      <x:c r="B147" s="56"/>
      <x:c r="C147" s="56"/>
    </x:row>
    <x:row r="148">
      <x:c r="A148" s="56"/>
      <x:c r="B148" s="56"/>
      <x:c r="C148" s="56"/>
    </x:row>
    <x:row r="149">
      <x:c r="A149" s="56"/>
      <x:c r="B149" s="56"/>
      <x:c r="C149" s="56"/>
    </x:row>
    <x:row r="150">
      <x:c r="A150" s="56"/>
      <x:c r="B150" s="56"/>
      <x:c r="C150" s="56"/>
    </x:row>
    <x:row r="151">
      <x:c r="A151" s="56"/>
      <x:c r="B151" s="56"/>
      <x:c r="C151" s="56"/>
    </x:row>
    <x:row r="152">
      <x:c r="A152" s="56"/>
      <x:c r="B152" s="56"/>
      <x:c r="C152" s="56"/>
    </x:row>
    <x:row r="153">
      <x:c r="A153" s="56"/>
      <x:c r="B153" s="56"/>
      <x:c r="C153" s="56"/>
    </x:row>
    <x:row r="154">
      <x:c r="A154" s="56"/>
      <x:c r="B154" s="56"/>
      <x:c r="C154" s="56"/>
    </x:row>
    <x:row r="155">
      <x:c r="A155" s="56"/>
      <x:c r="B155" s="56"/>
      <x:c r="C155" s="56"/>
    </x:row>
    <x:row r="156">
      <x:c r="A156" s="56"/>
      <x:c r="B156" s="56"/>
      <x:c r="C156" s="56"/>
    </x:row>
    <x:row r="157">
      <x:c r="A157" s="56"/>
      <x:c r="B157" s="56"/>
      <x:c r="C157" s="56"/>
    </x:row>
    <x:row r="158">
      <x:c r="A158" s="56"/>
      <x:c r="B158" s="56"/>
      <x:c r="C158" s="56"/>
    </x:row>
    <x:row r="159">
      <x:c r="A159" s="56"/>
      <x:c r="B159" s="56"/>
      <x:c r="C159" s="56"/>
    </x:row>
    <x:row r="160">
      <x:c r="A160" s="56"/>
      <x:c r="B160" s="56"/>
      <x:c r="C160" s="56"/>
    </x:row>
    <x:row r="161">
      <x:c r="A161" s="56"/>
      <x:c r="B161" s="56"/>
      <x:c r="C161" s="56"/>
    </x:row>
    <x:row r="162">
      <x:c r="A162" s="56"/>
      <x:c r="B162" s="56"/>
      <x:c r="C162" s="56"/>
    </x:row>
    <x:row r="163">
      <x:c r="A163" s="56"/>
      <x:c r="B163" s="56"/>
      <x:c r="C163" s="56"/>
    </x:row>
    <x:row r="164">
      <x:c r="A164" s="56"/>
      <x:c r="B164" s="56"/>
      <x:c r="C164" s="56"/>
    </x:row>
    <x:row r="165">
      <x:c r="A165" s="56"/>
      <x:c r="B165" s="56"/>
      <x:c r="C165" s="56"/>
    </x:row>
    <x:row r="166">
      <x:c r="A166" s="56"/>
      <x:c r="B166" s="56"/>
      <x:c r="C166" s="56"/>
    </x:row>
    <x:row r="167">
      <x:c r="A167" s="56"/>
      <x:c r="B167" s="56"/>
      <x:c r="C167" s="56"/>
    </x:row>
    <x:row r="168">
      <x:c r="A168" s="56"/>
      <x:c r="B168" s="56"/>
      <x:c r="C168" s="56"/>
    </x:row>
    <x:row r="169">
      <x:c r="A169" s="56"/>
      <x:c r="B169" s="56"/>
      <x:c r="C169" s="56"/>
    </x:row>
    <x:row r="170">
      <x:c r="A170" s="56"/>
      <x:c r="B170" s="56"/>
      <x:c r="C170" s="56"/>
    </x:row>
    <x:row r="171">
      <x:c r="A171" s="56"/>
      <x:c r="B171" s="56"/>
      <x:c r="C171" s="56"/>
    </x:row>
    <x:row r="172">
      <x:c r="A172" s="56"/>
      <x:c r="B172" s="56"/>
      <x:c r="C172" s="56"/>
    </x:row>
    <x:row r="173">
      <x:c r="A173" s="56"/>
      <x:c r="B173" s="56"/>
      <x:c r="C173" s="56"/>
    </x:row>
    <x:row r="174">
      <x:c r="A174" s="56"/>
      <x:c r="B174" s="56"/>
      <x:c r="C174" s="56"/>
    </x:row>
    <x:row r="175">
      <x:c r="A175" s="56"/>
      <x:c r="B175" s="56"/>
      <x:c r="C175" s="56"/>
    </x:row>
    <x:row r="176">
      <x:c r="A176" s="56"/>
      <x:c r="B176" s="56"/>
      <x:c r="C176" s="56"/>
    </x:row>
    <x:row r="177">
      <x:c r="A177" s="56"/>
      <x:c r="B177" s="56"/>
      <x:c r="C177" s="56"/>
    </x:row>
    <x:row r="178">
      <x:c r="A178" s="56"/>
      <x:c r="B178" s="56"/>
      <x:c r="C178" s="56"/>
    </x:row>
    <x:row r="179">
      <x:c r="A179" s="56"/>
      <x:c r="B179" s="56"/>
      <x:c r="C179" s="56"/>
    </x:row>
    <x:row r="180">
      <x:c r="A180" s="56"/>
      <x:c r="B180" s="56"/>
      <x:c r="C180" s="56"/>
    </x:row>
    <x:row r="181">
      <x:c r="A181" s="56"/>
      <x:c r="B181" s="56"/>
      <x:c r="C181" s="56"/>
    </x:row>
    <x:row r="182">
      <x:c r="A182" s="56"/>
      <x:c r="B182" s="56"/>
      <x:c r="C182" s="56"/>
    </x:row>
    <x:row r="183">
      <x:c r="A183" s="56"/>
      <x:c r="B183" s="56"/>
      <x:c r="C183" s="56"/>
    </x:row>
    <x:row r="184">
      <x:c r="A184" s="56"/>
      <x:c r="B184" s="56"/>
      <x:c r="C184" s="56"/>
    </x:row>
    <x:row r="185">
      <x:c r="A185" s="56"/>
      <x:c r="B185" s="56"/>
      <x:c r="C185" s="56"/>
    </x:row>
    <x:row r="186">
      <x:c r="A186" s="56"/>
      <x:c r="B186" s="56"/>
      <x:c r="C186" s="56"/>
    </x:row>
    <x:row r="187">
      <x:c r="A187" s="56"/>
      <x:c r="B187" s="56"/>
      <x:c r="C187" s="56"/>
    </x:row>
    <x:row r="188">
      <x:c r="A188" s="56"/>
      <x:c r="B188" s="56"/>
      <x:c r="C188" s="56"/>
    </x:row>
    <x:row r="189">
      <x:c r="A189" s="56"/>
      <x:c r="B189" s="56"/>
      <x:c r="C189" s="56"/>
    </x:row>
    <x:row r="190">
      <x:c r="A190" s="56"/>
      <x:c r="B190" s="56"/>
      <x:c r="C190" s="56"/>
    </x:row>
    <x:row r="191">
      <x:c r="A191" s="56"/>
      <x:c r="B191" s="56"/>
      <x:c r="C191" s="56"/>
    </x:row>
    <x:row r="192">
      <x:c r="A192" s="56"/>
      <x:c r="B192" s="56"/>
      <x:c r="C192" s="56"/>
    </x:row>
    <x:row r="193">
      <x:c r="A193" s="56"/>
      <x:c r="B193" s="56"/>
      <x:c r="C193" s="56"/>
    </x:row>
    <x:row r="194">
      <x:c r="A194" s="56"/>
      <x:c r="B194" s="56"/>
      <x:c r="C194" s="56"/>
    </x:row>
    <x:row r="195">
      <x:c r="A195" s="56"/>
      <x:c r="B195" s="56"/>
      <x:c r="C195" s="56"/>
    </x:row>
    <x:row r="196">
      <x:c r="A196" s="56"/>
      <x:c r="B196" s="56"/>
      <x:c r="C196" s="56"/>
    </x:row>
    <x:row r="197">
      <x:c r="A197" s="56"/>
      <x:c r="B197" s="56"/>
      <x:c r="C197" s="56"/>
    </x:row>
    <x:row r="198">
      <x:c r="A198" s="56"/>
      <x:c r="B198" s="56"/>
      <x:c r="C198" s="56"/>
    </x:row>
    <x:row r="199">
      <x:c r="A199" s="56"/>
      <x:c r="B199" s="56"/>
      <x:c r="C199" s="56"/>
    </x:row>
    <x:row r="200">
      <x:c r="A200" s="56"/>
      <x:c r="B200" s="56"/>
      <x:c r="C200" s="56"/>
    </x:row>
    <x:row r="201">
      <x:c r="A201" s="56"/>
      <x:c r="B201" s="56"/>
      <x:c r="C201" s="56"/>
    </x:row>
    <x:row r="202">
      <x:c r="A202" s="56"/>
      <x:c r="B202" s="56"/>
      <x:c r="C202" s="56"/>
    </x:row>
    <x:row r="203">
      <x:c r="A203" s="56"/>
      <x:c r="B203" s="56"/>
      <x:c r="C203" s="56"/>
    </x:row>
    <x:row r="204">
      <x:c r="A204" s="56"/>
      <x:c r="B204" s="56"/>
      <x:c r="C204" s="56"/>
    </x:row>
  </x:sheetData>
  <x:dataValidations count="2">
    <x:dataValidation type="list" allowBlank="1" showDropDown="0" sqref="B6">
      <x:formula1>"체크리스트,인원관리,예산관리,웨딩홀,스드메,보금자리,설정"</x:formula1>
    </x:dataValidation>
    <x:dataValidation type="list" allowBlank="1" showDropDown="0" sqref="B7">
      <x:formula1>"ON,OFF"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99999809265137" hidden="0" customWidth="1"/>
    <x:col min="2" max="2" width="26.3799991607666" hidden="0" customWidth="1"/>
    <x:col min="3" max="3" width="43.560001373291016" hidden="0" customWidth="1"/>
  </x:cols>
  <x:sheetData>
    <x:row r="1">
      <x:c r="A1" s="49" t="str">
        <x:v>체크리스트 분류</x:v>
      </x:c>
      <x:c r="B1" s="50"/>
      <x:c r="C1" s="50"/>
    </x:row>
    <x:row r="2">
      <x:c r="A2" s="49" t="str">
        <x:v>결혼 준비 시점별 큰 묶음을 관리합니다.</x:v>
      </x:c>
      <x:c r="B2" s="50"/>
      <x:c r="C2" s="50"/>
    </x:row>
    <x:row r="3">
      <x:c r="A3" s="50"/>
      <x:c r="B3" s="50"/>
      <x:c r="C3" s="50"/>
    </x:row>
    <x:row r="4">
      <x:c r="A4" s="55" t="str">
        <x:v>순서</x:v>
      </x:c>
      <x:c r="B4" s="55" t="str">
        <x:v>분류명</x:v>
      </x:c>
      <x:c r="C4" s="55" t="str">
        <x:v>색상/메모</x:v>
      </x:c>
    </x:row>
    <x:row r="5">
      <x:c r="A5" s="56" t="n">
        <x:v>1</x:v>
      </x:c>
      <x:c r="B5" s="56" t="str">
        <x:v>결혼 6개월 전</x:v>
      </x:c>
      <x:c r="C5" s="56" t="str">
        <x:v>초기 준비</x:v>
      </x:c>
    </x:row>
    <x:row r="6">
      <x:c r="A6" s="56" t="n">
        <x:v>2</x:v>
      </x:c>
      <x:c r="B6" s="56" t="str">
        <x:v>결혼 3개월 전</x:v>
      </x:c>
      <x:c r="C6" s="56" t="str">
        <x:v>중간 점검</x:v>
      </x:c>
    </x:row>
    <x:row r="7">
      <x:c r="A7" s="56" t="n">
        <x:v>3</x:v>
      </x:c>
      <x:c r="B7" s="56" t="str">
        <x:v>본식</x:v>
      </x:c>
      <x:c r="C7" s="56" t="str">
        <x:v>당일 체크</x:v>
      </x:c>
    </x:row>
    <x:row r="8">
      <x:c r="A8" s="56" t="n">
        <x:v>4</x:v>
      </x:c>
      <x:c r="B8" s="56" t="str">
        <x:v>본식 이후</x:v>
      </x:c>
      <x:c r="C8" s="56" t="str">
        <x:v>정산/후속 처리</x:v>
      </x:c>
    </x:row>
    <x:row r="9">
      <x:c r="A9" s="56"/>
      <x:c r="B9" s="56"/>
      <x:c r="C9" s="56"/>
    </x:row>
    <x:row r="10">
      <x:c r="A10" s="56"/>
      <x:c r="B10" s="56"/>
      <x:c r="C10" s="56"/>
    </x:row>
    <x:row r="11">
      <x:c r="A11" s="56"/>
      <x:c r="B11" s="56"/>
      <x:c r="C11" s="56"/>
    </x:row>
    <x:row r="12">
      <x:c r="A12" s="56"/>
      <x:c r="B12" s="56"/>
      <x:c r="C12" s="56"/>
    </x:row>
    <x:row r="13">
      <x:c r="A13" s="56"/>
      <x:c r="B13" s="56"/>
      <x:c r="C13" s="56"/>
    </x:row>
    <x:row r="14">
      <x:c r="A14" s="56"/>
      <x:c r="B14" s="56"/>
      <x:c r="C14" s="56"/>
    </x:row>
    <x:row r="15">
      <x:c r="A15" s="56"/>
      <x:c r="B15" s="56"/>
      <x:c r="C15" s="56"/>
    </x:row>
    <x:row r="16">
      <x:c r="A16" s="56"/>
      <x:c r="B16" s="56"/>
      <x:c r="C16" s="56"/>
    </x:row>
    <x:row r="17">
      <x:c r="A17" s="56"/>
      <x:c r="B17" s="56"/>
      <x:c r="C17" s="56"/>
    </x:row>
    <x:row r="18">
      <x:c r="A18" s="56"/>
      <x:c r="B18" s="56"/>
      <x:c r="C18" s="56"/>
    </x:row>
    <x:row r="19">
      <x:c r="A19" s="56"/>
      <x:c r="B19" s="56"/>
      <x:c r="C19" s="56"/>
    </x:row>
    <x:row r="20">
      <x:c r="A20" s="56"/>
      <x:c r="B20" s="56"/>
      <x:c r="C20" s="56"/>
    </x:row>
    <x:row r="21">
      <x:c r="A21" s="56"/>
      <x:c r="B21" s="56"/>
      <x:c r="C21" s="56"/>
    </x:row>
    <x:row r="22">
      <x:c r="A22" s="56"/>
      <x:c r="B22" s="56"/>
      <x:c r="C22" s="56"/>
    </x:row>
    <x:row r="23">
      <x:c r="A23" s="56"/>
      <x:c r="B23" s="56"/>
      <x:c r="C23" s="56"/>
    </x:row>
    <x:row r="24">
      <x:c r="A24" s="56"/>
      <x:c r="B24" s="56"/>
      <x:c r="C24" s="56"/>
    </x:row>
    <x:row r="25">
      <x:c r="A25" s="56"/>
      <x:c r="B25" s="56"/>
      <x:c r="C25" s="56"/>
    </x:row>
    <x:row r="26">
      <x:c r="A26" s="56"/>
      <x:c r="B26" s="56"/>
      <x:c r="C26" s="56"/>
    </x:row>
    <x:row r="27">
      <x:c r="A27" s="56"/>
      <x:c r="B27" s="56"/>
      <x:c r="C27" s="56"/>
    </x:row>
    <x:row r="28">
      <x:c r="A28" s="56"/>
      <x:c r="B28" s="56"/>
      <x:c r="C28" s="56"/>
    </x:row>
    <x:row r="29">
      <x:c r="A29" s="56"/>
      <x:c r="B29" s="56"/>
      <x:c r="C29" s="56"/>
    </x:row>
    <x:row r="30">
      <x:c r="A30" s="56"/>
      <x:c r="B30" s="56"/>
      <x:c r="C30" s="56"/>
    </x:row>
    <x:row r="31">
      <x:c r="A31" s="56"/>
      <x:c r="B31" s="56"/>
      <x:c r="C31" s="56"/>
    </x:row>
    <x:row r="32">
      <x:c r="A32" s="56"/>
      <x:c r="B32" s="56"/>
      <x:c r="C32" s="56"/>
    </x:row>
    <x:row r="33">
      <x:c r="A33" s="56"/>
      <x:c r="B33" s="56"/>
      <x:c r="C33" s="56"/>
    </x:row>
    <x:row r="34">
      <x:c r="A34" s="56"/>
      <x:c r="B34" s="56"/>
      <x:c r="C34" s="56"/>
    </x:row>
    <x:row r="35">
      <x:c r="A35" s="56"/>
      <x:c r="B35" s="56"/>
      <x:c r="C35" s="56"/>
    </x:row>
    <x:row r="36">
      <x:c r="A36" s="56"/>
      <x:c r="B36" s="56"/>
      <x:c r="C36" s="56"/>
    </x:row>
    <x:row r="37">
      <x:c r="A37" s="56"/>
      <x:c r="B37" s="56"/>
      <x:c r="C37" s="56"/>
    </x:row>
    <x:row r="38">
      <x:c r="A38" s="56"/>
      <x:c r="B38" s="56"/>
      <x:c r="C38" s="56"/>
    </x:row>
    <x:row r="39">
      <x:c r="A39" s="56"/>
      <x:c r="B39" s="56"/>
      <x:c r="C39" s="56"/>
    </x:row>
    <x:row r="40">
      <x:c r="A40" s="56"/>
      <x:c r="B40" s="56"/>
      <x:c r="C40" s="56"/>
    </x:row>
    <x:row r="41">
      <x:c r="A41" s="56"/>
      <x:c r="B41" s="56"/>
      <x:c r="C41" s="56"/>
    </x:row>
    <x:row r="42">
      <x:c r="A42" s="56"/>
      <x:c r="B42" s="56"/>
      <x:c r="C42" s="56"/>
    </x:row>
    <x:row r="43">
      <x:c r="A43" s="56"/>
      <x:c r="B43" s="56"/>
      <x:c r="C43" s="56"/>
    </x:row>
    <x:row r="44">
      <x:c r="A44" s="56"/>
      <x:c r="B44" s="56"/>
      <x:c r="C44" s="56"/>
    </x:row>
    <x:row r="45">
      <x:c r="A45" s="56"/>
      <x:c r="B45" s="56"/>
      <x:c r="C45" s="56"/>
    </x:row>
    <x:row r="46">
      <x:c r="A46" s="56"/>
      <x:c r="B46" s="56"/>
      <x:c r="C46" s="56"/>
    </x:row>
    <x:row r="47">
      <x:c r="A47" s="56"/>
      <x:c r="B47" s="56"/>
      <x:c r="C47" s="56"/>
    </x:row>
    <x:row r="48">
      <x:c r="A48" s="56"/>
      <x:c r="B48" s="56"/>
      <x:c r="C48" s="56"/>
    </x:row>
    <x:row r="49">
      <x:c r="A49" s="56"/>
      <x:c r="B49" s="56"/>
      <x:c r="C49" s="56"/>
    </x:row>
    <x:row r="50">
      <x:c r="A50" s="56"/>
      <x:c r="B50" s="56"/>
      <x:c r="C50" s="56"/>
    </x:row>
    <x:row r="51">
      <x:c r="A51" s="56"/>
      <x:c r="B51" s="56"/>
      <x:c r="C51" s="56"/>
    </x:row>
    <x:row r="52">
      <x:c r="A52" s="56"/>
      <x:c r="B52" s="56"/>
      <x:c r="C52" s="56"/>
    </x:row>
    <x:row r="53">
      <x:c r="A53" s="56"/>
      <x:c r="B53" s="56"/>
      <x:c r="C53" s="56"/>
    </x:row>
    <x:row r="54">
      <x:c r="A54" s="56"/>
      <x:c r="B54" s="56"/>
      <x:c r="C54" s="56"/>
    </x:row>
    <x:row r="55">
      <x:c r="A55" s="56"/>
      <x:c r="B55" s="56"/>
      <x:c r="C55" s="56"/>
    </x:row>
    <x:row r="56">
      <x:c r="A56" s="56"/>
      <x:c r="B56" s="56"/>
      <x:c r="C56" s="56"/>
    </x:row>
    <x:row r="57">
      <x:c r="A57" s="56"/>
      <x:c r="B57" s="56"/>
      <x:c r="C57" s="56"/>
    </x:row>
    <x:row r="58">
      <x:c r="A58" s="56"/>
      <x:c r="B58" s="56"/>
      <x:c r="C58" s="56"/>
    </x:row>
    <x:row r="59">
      <x:c r="A59" s="56"/>
      <x:c r="B59" s="56"/>
      <x:c r="C59" s="56"/>
    </x:row>
    <x:row r="60">
      <x:c r="A60" s="56"/>
      <x:c r="B60" s="56"/>
      <x:c r="C60" s="56"/>
    </x:row>
    <x:row r="61">
      <x:c r="A61" s="56"/>
      <x:c r="B61" s="56"/>
      <x:c r="C61" s="56"/>
    </x:row>
    <x:row r="62">
      <x:c r="A62" s="56"/>
      <x:c r="B62" s="56"/>
      <x:c r="C62" s="56"/>
    </x:row>
    <x:row r="63">
      <x:c r="A63" s="56"/>
      <x:c r="B63" s="56"/>
      <x:c r="C63" s="56"/>
    </x:row>
    <x:row r="64">
      <x:c r="A64" s="56"/>
      <x:c r="B64" s="56"/>
      <x:c r="C64" s="56"/>
    </x:row>
    <x:row r="65">
      <x:c r="A65" s="56"/>
      <x:c r="B65" s="56"/>
      <x:c r="C65" s="56"/>
    </x:row>
    <x:row r="66">
      <x:c r="A66" s="56"/>
      <x:c r="B66" s="56"/>
      <x:c r="C66" s="56"/>
    </x:row>
    <x:row r="67">
      <x:c r="A67" s="56"/>
      <x:c r="B67" s="56"/>
      <x:c r="C67" s="56"/>
    </x:row>
    <x:row r="68">
      <x:c r="A68" s="56"/>
      <x:c r="B68" s="56"/>
      <x:c r="C68" s="56"/>
    </x:row>
    <x:row r="69">
      <x:c r="A69" s="56"/>
      <x:c r="B69" s="56"/>
      <x:c r="C69" s="56"/>
    </x:row>
    <x:row r="70">
      <x:c r="A70" s="56"/>
      <x:c r="B70" s="56"/>
      <x:c r="C70" s="56"/>
    </x:row>
    <x:row r="71">
      <x:c r="A71" s="56"/>
      <x:c r="B71" s="56"/>
      <x:c r="C71" s="56"/>
    </x:row>
    <x:row r="72">
      <x:c r="A72" s="56"/>
      <x:c r="B72" s="56"/>
      <x:c r="C72" s="56"/>
    </x:row>
    <x:row r="73">
      <x:c r="A73" s="56"/>
      <x:c r="B73" s="56"/>
      <x:c r="C73" s="56"/>
    </x:row>
    <x:row r="74">
      <x:c r="A74" s="56"/>
      <x:c r="B74" s="56"/>
      <x:c r="C74" s="56"/>
    </x:row>
    <x:row r="75">
      <x:c r="A75" s="56"/>
      <x:c r="B75" s="56"/>
      <x:c r="C75" s="56"/>
    </x:row>
    <x:row r="76">
      <x:c r="A76" s="56"/>
      <x:c r="B76" s="56"/>
      <x:c r="C76" s="56"/>
    </x:row>
    <x:row r="77">
      <x:c r="A77" s="56"/>
      <x:c r="B77" s="56"/>
      <x:c r="C77" s="56"/>
    </x:row>
    <x:row r="78">
      <x:c r="A78" s="56"/>
      <x:c r="B78" s="56"/>
      <x:c r="C78" s="56"/>
    </x:row>
    <x:row r="79">
      <x:c r="A79" s="56"/>
      <x:c r="B79" s="56"/>
      <x:c r="C79" s="56"/>
    </x:row>
    <x:row r="80">
      <x:c r="A80" s="56"/>
      <x:c r="B80" s="56"/>
      <x:c r="C80" s="56"/>
    </x:row>
    <x:row r="81">
      <x:c r="A81" s="56"/>
      <x:c r="B81" s="56"/>
      <x:c r="C81" s="56"/>
    </x:row>
    <x:row r="82">
      <x:c r="A82" s="56"/>
      <x:c r="B82" s="56"/>
      <x:c r="C82" s="56"/>
    </x:row>
    <x:row r="83">
      <x:c r="A83" s="56"/>
      <x:c r="B83" s="56"/>
      <x:c r="C83" s="56"/>
    </x:row>
    <x:row r="84">
      <x:c r="A84" s="56"/>
      <x:c r="B84" s="56"/>
      <x:c r="C84" s="56"/>
    </x:row>
    <x:row r="85">
      <x:c r="A85" s="56"/>
      <x:c r="B85" s="56"/>
      <x:c r="C85" s="56"/>
    </x:row>
    <x:row r="86">
      <x:c r="A86" s="56"/>
      <x:c r="B86" s="56"/>
      <x:c r="C86" s="56"/>
    </x:row>
    <x:row r="87">
      <x:c r="A87" s="56"/>
      <x:c r="B87" s="56"/>
      <x:c r="C87" s="56"/>
    </x:row>
    <x:row r="88">
      <x:c r="A88" s="56"/>
      <x:c r="B88" s="56"/>
      <x:c r="C88" s="56"/>
    </x:row>
    <x:row r="89">
      <x:c r="A89" s="56"/>
      <x:c r="B89" s="56"/>
      <x:c r="C89" s="56"/>
    </x:row>
    <x:row r="90">
      <x:c r="A90" s="56"/>
      <x:c r="B90" s="56"/>
      <x:c r="C90" s="56"/>
    </x:row>
    <x:row r="91">
      <x:c r="A91" s="56"/>
      <x:c r="B91" s="56"/>
      <x:c r="C91" s="56"/>
    </x:row>
    <x:row r="92">
      <x:c r="A92" s="56"/>
      <x:c r="B92" s="56"/>
      <x:c r="C92" s="56"/>
    </x:row>
    <x:row r="93">
      <x:c r="A93" s="56"/>
      <x:c r="B93" s="56"/>
      <x:c r="C93" s="56"/>
    </x:row>
    <x:row r="94">
      <x:c r="A94" s="56"/>
      <x:c r="B94" s="56"/>
      <x:c r="C94" s="56"/>
    </x:row>
    <x:row r="95">
      <x:c r="A95" s="56"/>
      <x:c r="B95" s="56"/>
      <x:c r="C95" s="56"/>
    </x:row>
    <x:row r="96">
      <x:c r="A96" s="56"/>
      <x:c r="B96" s="56"/>
      <x:c r="C96" s="56"/>
    </x:row>
    <x:row r="97">
      <x:c r="A97" s="56"/>
      <x:c r="B97" s="56"/>
      <x:c r="C97" s="56"/>
    </x:row>
    <x:row r="98">
      <x:c r="A98" s="56"/>
      <x:c r="B98" s="56"/>
      <x:c r="C98" s="56"/>
    </x:row>
    <x:row r="99">
      <x:c r="A99" s="56"/>
      <x:c r="B99" s="56"/>
      <x:c r="C99" s="56"/>
    </x:row>
    <x:row r="100">
      <x:c r="A100" s="56"/>
      <x:c r="B100" s="56"/>
      <x:c r="C100" s="56"/>
    </x:row>
    <x:row r="101">
      <x:c r="A101" s="56"/>
      <x:c r="B101" s="56"/>
      <x:c r="C101" s="56"/>
    </x:row>
    <x:row r="102">
      <x:c r="A102" s="56"/>
      <x:c r="B102" s="56"/>
      <x:c r="C102" s="56"/>
    </x:row>
    <x:row r="103">
      <x:c r="A103" s="56"/>
      <x:c r="B103" s="56"/>
      <x:c r="C103" s="56"/>
    </x:row>
    <x:row r="104">
      <x:c r="A104" s="56"/>
      <x:c r="B104" s="56"/>
      <x:c r="C104" s="56"/>
    </x:row>
    <x:row r="105">
      <x:c r="A105" s="56"/>
      <x:c r="B105" s="56"/>
      <x:c r="C105" s="56"/>
    </x:row>
    <x:row r="106">
      <x:c r="A106" s="56"/>
      <x:c r="B106" s="56"/>
      <x:c r="C106" s="56"/>
    </x:row>
    <x:row r="107">
      <x:c r="A107" s="56"/>
      <x:c r="B107" s="56"/>
      <x:c r="C107" s="56"/>
    </x:row>
    <x:row r="108">
      <x:c r="A108" s="56"/>
      <x:c r="B108" s="56"/>
      <x:c r="C108" s="56"/>
    </x:row>
    <x:row r="109">
      <x:c r="A109" s="56"/>
      <x:c r="B109" s="56"/>
      <x:c r="C109" s="56"/>
    </x:row>
    <x:row r="110">
      <x:c r="A110" s="56"/>
      <x:c r="B110" s="56"/>
      <x:c r="C110" s="56"/>
    </x:row>
    <x:row r="111">
      <x:c r="A111" s="56"/>
      <x:c r="B111" s="56"/>
      <x:c r="C111" s="56"/>
    </x:row>
    <x:row r="112">
      <x:c r="A112" s="56"/>
      <x:c r="B112" s="56"/>
      <x:c r="C112" s="56"/>
    </x:row>
    <x:row r="113">
      <x:c r="A113" s="56"/>
      <x:c r="B113" s="56"/>
      <x:c r="C113" s="56"/>
    </x:row>
    <x:row r="114">
      <x:c r="A114" s="56"/>
      <x:c r="B114" s="56"/>
      <x:c r="C114" s="56"/>
    </x:row>
    <x:row r="115">
      <x:c r="A115" s="56"/>
      <x:c r="B115" s="56"/>
      <x:c r="C115" s="56"/>
    </x:row>
    <x:row r="116">
      <x:c r="A116" s="56"/>
      <x:c r="B116" s="56"/>
      <x:c r="C116" s="56"/>
    </x:row>
    <x:row r="117">
      <x:c r="A117" s="56"/>
      <x:c r="B117" s="56"/>
      <x:c r="C117" s="56"/>
    </x:row>
    <x:row r="118">
      <x:c r="A118" s="56"/>
      <x:c r="B118" s="56"/>
      <x:c r="C118" s="56"/>
    </x:row>
    <x:row r="119">
      <x:c r="A119" s="56"/>
      <x:c r="B119" s="56"/>
      <x:c r="C119" s="56"/>
    </x:row>
    <x:row r="120">
      <x:c r="A120" s="56"/>
      <x:c r="B120" s="56"/>
      <x:c r="C120" s="56"/>
    </x:row>
    <x:row r="121">
      <x:c r="A121" s="56"/>
      <x:c r="B121" s="56"/>
      <x:c r="C121" s="56"/>
    </x:row>
    <x:row r="122">
      <x:c r="A122" s="56"/>
      <x:c r="B122" s="56"/>
      <x:c r="C122" s="56"/>
    </x:row>
    <x:row r="123">
      <x:c r="A123" s="56"/>
      <x:c r="B123" s="56"/>
      <x:c r="C123" s="56"/>
    </x:row>
    <x:row r="124">
      <x:c r="A124" s="56"/>
      <x:c r="B124" s="56"/>
      <x:c r="C124" s="56"/>
    </x:row>
    <x:row r="125">
      <x:c r="A125" s="56"/>
      <x:c r="B125" s="56"/>
      <x:c r="C125" s="56"/>
    </x:row>
    <x:row r="126">
      <x:c r="A126" s="56"/>
      <x:c r="B126" s="56"/>
      <x:c r="C126" s="56"/>
    </x:row>
    <x:row r="127">
      <x:c r="A127" s="56"/>
      <x:c r="B127" s="56"/>
      <x:c r="C127" s="56"/>
    </x:row>
    <x:row r="128">
      <x:c r="A128" s="56"/>
      <x:c r="B128" s="56"/>
      <x:c r="C128" s="56"/>
    </x:row>
    <x:row r="129">
      <x:c r="A129" s="56"/>
      <x:c r="B129" s="56"/>
      <x:c r="C129" s="56"/>
    </x:row>
    <x:row r="130">
      <x:c r="A130" s="56"/>
      <x:c r="B130" s="56"/>
      <x:c r="C130" s="56"/>
    </x:row>
    <x:row r="131">
      <x:c r="A131" s="56"/>
      <x:c r="B131" s="56"/>
      <x:c r="C131" s="56"/>
    </x:row>
    <x:row r="132">
      <x:c r="A132" s="56"/>
      <x:c r="B132" s="56"/>
      <x:c r="C132" s="56"/>
    </x:row>
    <x:row r="133">
      <x:c r="A133" s="56"/>
      <x:c r="B133" s="56"/>
      <x:c r="C133" s="56"/>
    </x:row>
    <x:row r="134">
      <x:c r="A134" s="56"/>
      <x:c r="B134" s="56"/>
      <x:c r="C134" s="56"/>
    </x:row>
    <x:row r="135">
      <x:c r="A135" s="56"/>
      <x:c r="B135" s="56"/>
      <x:c r="C135" s="56"/>
    </x:row>
    <x:row r="136">
      <x:c r="A136" s="56"/>
      <x:c r="B136" s="56"/>
      <x:c r="C136" s="56"/>
    </x:row>
    <x:row r="137">
      <x:c r="A137" s="56"/>
      <x:c r="B137" s="56"/>
      <x:c r="C137" s="56"/>
    </x:row>
    <x:row r="138">
      <x:c r="A138" s="56"/>
      <x:c r="B138" s="56"/>
      <x:c r="C138" s="56"/>
    </x:row>
    <x:row r="139">
      <x:c r="A139" s="56"/>
      <x:c r="B139" s="56"/>
      <x:c r="C139" s="56"/>
    </x:row>
    <x:row r="140">
      <x:c r="A140" s="56"/>
      <x:c r="B140" s="56"/>
      <x:c r="C140" s="56"/>
    </x:row>
    <x:row r="141">
      <x:c r="A141" s="56"/>
      <x:c r="B141" s="56"/>
      <x:c r="C141" s="56"/>
    </x:row>
    <x:row r="142">
      <x:c r="A142" s="56"/>
      <x:c r="B142" s="56"/>
      <x:c r="C142" s="56"/>
    </x:row>
    <x:row r="143">
      <x:c r="A143" s="56"/>
      <x:c r="B143" s="56"/>
      <x:c r="C143" s="56"/>
    </x:row>
    <x:row r="144">
      <x:c r="A144" s="56"/>
      <x:c r="B144" s="56"/>
      <x:c r="C144" s="56"/>
    </x:row>
    <x:row r="145">
      <x:c r="A145" s="56"/>
      <x:c r="B145" s="56"/>
      <x:c r="C145" s="56"/>
    </x:row>
    <x:row r="146">
      <x:c r="A146" s="56"/>
      <x:c r="B146" s="56"/>
      <x:c r="C146" s="56"/>
    </x:row>
    <x:row r="147">
      <x:c r="A147" s="56"/>
      <x:c r="B147" s="56"/>
      <x:c r="C147" s="56"/>
    </x:row>
    <x:row r="148">
      <x:c r="A148" s="56"/>
      <x:c r="B148" s="56"/>
      <x:c r="C148" s="56"/>
    </x:row>
    <x:row r="149">
      <x:c r="A149" s="56"/>
      <x:c r="B149" s="56"/>
      <x:c r="C149" s="56"/>
    </x:row>
    <x:row r="150">
      <x:c r="A150" s="56"/>
      <x:c r="B150" s="56"/>
      <x:c r="C150" s="56"/>
    </x:row>
    <x:row r="151">
      <x:c r="A151" s="56"/>
      <x:c r="B151" s="56"/>
      <x:c r="C151" s="56"/>
    </x:row>
    <x:row r="152">
      <x:c r="A152" s="56"/>
      <x:c r="B152" s="56"/>
      <x:c r="C152" s="56"/>
    </x:row>
    <x:row r="153">
      <x:c r="A153" s="56"/>
      <x:c r="B153" s="56"/>
      <x:c r="C153" s="56"/>
    </x:row>
    <x:row r="154">
      <x:c r="A154" s="56"/>
      <x:c r="B154" s="56"/>
      <x:c r="C154" s="56"/>
    </x:row>
    <x:row r="155">
      <x:c r="A155" s="56"/>
      <x:c r="B155" s="56"/>
      <x:c r="C155" s="56"/>
    </x:row>
    <x:row r="156">
      <x:c r="A156" s="56"/>
      <x:c r="B156" s="56"/>
      <x:c r="C156" s="56"/>
    </x:row>
    <x:row r="157">
      <x:c r="A157" s="56"/>
      <x:c r="B157" s="56"/>
      <x:c r="C157" s="56"/>
    </x:row>
    <x:row r="158">
      <x:c r="A158" s="56"/>
      <x:c r="B158" s="56"/>
      <x:c r="C158" s="56"/>
    </x:row>
    <x:row r="159">
      <x:c r="A159" s="56"/>
      <x:c r="B159" s="56"/>
      <x:c r="C159" s="56"/>
    </x:row>
    <x:row r="160">
      <x:c r="A160" s="56"/>
      <x:c r="B160" s="56"/>
      <x:c r="C160" s="56"/>
    </x:row>
    <x:row r="161">
      <x:c r="A161" s="56"/>
      <x:c r="B161" s="56"/>
      <x:c r="C161" s="56"/>
    </x:row>
    <x:row r="162">
      <x:c r="A162" s="56"/>
      <x:c r="B162" s="56"/>
      <x:c r="C162" s="56"/>
    </x:row>
    <x:row r="163">
      <x:c r="A163" s="56"/>
      <x:c r="B163" s="56"/>
      <x:c r="C163" s="56"/>
    </x:row>
    <x:row r="164">
      <x:c r="A164" s="56"/>
      <x:c r="B164" s="56"/>
      <x:c r="C164" s="56"/>
    </x:row>
    <x:row r="165">
      <x:c r="A165" s="56"/>
      <x:c r="B165" s="56"/>
      <x:c r="C165" s="56"/>
    </x:row>
    <x:row r="166">
      <x:c r="A166" s="56"/>
      <x:c r="B166" s="56"/>
      <x:c r="C166" s="56"/>
    </x:row>
    <x:row r="167">
      <x:c r="A167" s="56"/>
      <x:c r="B167" s="56"/>
      <x:c r="C167" s="56"/>
    </x:row>
    <x:row r="168">
      <x:c r="A168" s="56"/>
      <x:c r="B168" s="56"/>
      <x:c r="C168" s="56"/>
    </x:row>
    <x:row r="169">
      <x:c r="A169" s="56"/>
      <x:c r="B169" s="56"/>
      <x:c r="C169" s="56"/>
    </x:row>
    <x:row r="170">
      <x:c r="A170" s="56"/>
      <x:c r="B170" s="56"/>
      <x:c r="C170" s="56"/>
    </x:row>
    <x:row r="171">
      <x:c r="A171" s="56"/>
      <x:c r="B171" s="56"/>
      <x:c r="C171" s="56"/>
    </x:row>
    <x:row r="172">
      <x:c r="A172" s="56"/>
      <x:c r="B172" s="56"/>
      <x:c r="C172" s="56"/>
    </x:row>
    <x:row r="173">
      <x:c r="A173" s="56"/>
      <x:c r="B173" s="56"/>
      <x:c r="C173" s="56"/>
    </x:row>
    <x:row r="174">
      <x:c r="A174" s="56"/>
      <x:c r="B174" s="56"/>
      <x:c r="C174" s="56"/>
    </x:row>
    <x:row r="175">
      <x:c r="A175" s="56"/>
      <x:c r="B175" s="56"/>
      <x:c r="C175" s="56"/>
    </x:row>
    <x:row r="176">
      <x:c r="A176" s="56"/>
      <x:c r="B176" s="56"/>
      <x:c r="C176" s="56"/>
    </x:row>
    <x:row r="177">
      <x:c r="A177" s="56"/>
      <x:c r="B177" s="56"/>
      <x:c r="C177" s="56"/>
    </x:row>
    <x:row r="178">
      <x:c r="A178" s="56"/>
      <x:c r="B178" s="56"/>
      <x:c r="C178" s="56"/>
    </x:row>
    <x:row r="179">
      <x:c r="A179" s="56"/>
      <x:c r="B179" s="56"/>
      <x:c r="C179" s="56"/>
    </x:row>
    <x:row r="180">
      <x:c r="A180" s="56"/>
      <x:c r="B180" s="56"/>
      <x:c r="C180" s="56"/>
    </x:row>
    <x:row r="181">
      <x:c r="A181" s="56"/>
      <x:c r="B181" s="56"/>
      <x:c r="C181" s="56"/>
    </x:row>
    <x:row r="182">
      <x:c r="A182" s="56"/>
      <x:c r="B182" s="56"/>
      <x:c r="C182" s="56"/>
    </x:row>
    <x:row r="183">
      <x:c r="A183" s="56"/>
      <x:c r="B183" s="56"/>
      <x:c r="C183" s="56"/>
    </x:row>
    <x:row r="184">
      <x:c r="A184" s="56"/>
      <x:c r="B184" s="56"/>
      <x:c r="C184" s="56"/>
    </x:row>
    <x:row r="185">
      <x:c r="A185" s="56"/>
      <x:c r="B185" s="56"/>
      <x:c r="C185" s="56"/>
    </x:row>
    <x:row r="186">
      <x:c r="A186" s="56"/>
      <x:c r="B186" s="56"/>
      <x:c r="C186" s="56"/>
    </x:row>
    <x:row r="187">
      <x:c r="A187" s="56"/>
      <x:c r="B187" s="56"/>
      <x:c r="C187" s="56"/>
    </x:row>
    <x:row r="188">
      <x:c r="A188" s="56"/>
      <x:c r="B188" s="56"/>
      <x:c r="C188" s="56"/>
    </x:row>
    <x:row r="189">
      <x:c r="A189" s="56"/>
      <x:c r="B189" s="56"/>
      <x:c r="C189" s="56"/>
    </x:row>
    <x:row r="190">
      <x:c r="A190" s="56"/>
      <x:c r="B190" s="56"/>
      <x:c r="C190" s="56"/>
    </x:row>
    <x:row r="191">
      <x:c r="A191" s="56"/>
      <x:c r="B191" s="56"/>
      <x:c r="C191" s="56"/>
    </x:row>
    <x:row r="192">
      <x:c r="A192" s="56"/>
      <x:c r="B192" s="56"/>
      <x:c r="C192" s="56"/>
    </x:row>
    <x:row r="193">
      <x:c r="A193" s="56"/>
      <x:c r="B193" s="56"/>
      <x:c r="C193" s="56"/>
    </x:row>
    <x:row r="194">
      <x:c r="A194" s="56"/>
      <x:c r="B194" s="56"/>
      <x:c r="C194" s="56"/>
    </x:row>
    <x:row r="195">
      <x:c r="A195" s="56"/>
      <x:c r="B195" s="56"/>
      <x:c r="C195" s="56"/>
    </x:row>
    <x:row r="196">
      <x:c r="A196" s="56"/>
      <x:c r="B196" s="56"/>
      <x:c r="C196" s="56"/>
    </x:row>
    <x:row r="197">
      <x:c r="A197" s="56"/>
      <x:c r="B197" s="56"/>
      <x:c r="C197" s="56"/>
    </x:row>
    <x:row r="198">
      <x:c r="A198" s="56"/>
      <x:c r="B198" s="56"/>
      <x:c r="C198" s="56"/>
    </x:row>
    <x:row r="199">
      <x:c r="A199" s="56"/>
      <x:c r="B199" s="56"/>
      <x:c r="C199" s="56"/>
    </x:row>
    <x:row r="200">
      <x:c r="A200" s="56"/>
      <x:c r="B200" s="56"/>
      <x:c r="C200" s="56"/>
    </x:row>
    <x:row r="201">
      <x:c r="A201" s="56"/>
      <x:c r="B201" s="56"/>
      <x:c r="C201" s="56"/>
    </x:row>
    <x:row r="202">
      <x:c r="A202" s="56"/>
      <x:c r="B202" s="56"/>
      <x:c r="C202" s="56"/>
    </x:row>
    <x:row r="203">
      <x:c r="A203" s="56"/>
      <x:c r="B203" s="56"/>
      <x:c r="C203" s="56"/>
    </x:row>
    <x:row r="204">
      <x:c r="A204" s="56"/>
      <x:c r="B204" s="56"/>
      <x:c r="C204" s="56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980000019073486" hidden="0" customWidth="1"/>
    <x:col min="2" max="2" width="19.020000457763672" hidden="0" customWidth="1"/>
    <x:col min="3" max="3" width="19.020000457763672" hidden="0" customWidth="1"/>
    <x:col min="4" max="4" width="33.7400016784668" hidden="0" customWidth="1"/>
    <x:col min="5" max="5" width="14.109999656677246" hidden="0" customWidth="1"/>
    <x:col min="6" max="6" width="31.290000915527344" hidden="0" customWidth="1"/>
    <x:col min="7" max="7" width="12.880000114440918" hidden="0" customWidth="1"/>
    <x:col min="8" max="8" width="14.109999656677246" hidden="0" customWidth="1"/>
  </x:cols>
  <x:sheetData>
    <x:row r="1">
      <x:c r="A1" s="49" t="str">
        <x:v>체크리스트</x:v>
      </x:c>
      <x:c r="B1" s="50"/>
      <x:c r="C1" s="50"/>
      <x:c r="D1" s="50"/>
      <x:c r="E1" s="50"/>
      <x:c r="F1" s="50"/>
      <x:c r="G1" s="50"/>
      <x:c r="H1" s="50"/>
    </x:row>
    <x:row r="2">
      <x:c r="A2" s="49" t="str">
        <x:v>분류별 준비 항목을 입력하고 완료 여부를 관리합니다.</x:v>
      </x:c>
      <x:c r="B2" s="50"/>
      <x:c r="C2" s="50"/>
      <x:c r="D2" s="50"/>
      <x:c r="E2" s="50"/>
      <x:c r="F2" s="50"/>
      <x:c r="G2" s="50"/>
      <x:c r="H2" s="50"/>
    </x:row>
    <x:row r="3">
      <x:c r="A3" s="50"/>
      <x:c r="B3" s="50"/>
      <x:c r="C3" s="50"/>
      <x:c r="D3" s="50"/>
      <x:c r="E3" s="50"/>
      <x:c r="F3" s="50"/>
      <x:c r="G3" s="50"/>
      <x:c r="H3" s="50"/>
    </x:row>
    <x:row r="4">
      <x:c r="A4" s="57" t="str">
        <x:v>진행 현황</x:v>
      </x:c>
      <x:c r="B4" s="57" t="str"/>
      <x:c r="C4" s="57" t="str"/>
      <x:c r="D4" s="57" t="str"/>
      <x:c r="E4" s="57" t="str"/>
      <x:c r="F4" s="57" t="str"/>
      <x:c r="G4" s="57" t="str"/>
      <x:c r="H4" s="57" t="str"/>
    </x:row>
    <x:row r="5">
      <x:c r="A5" s="53" t="str">
        <x:v>완료 현황</x:v>
      </x:c>
      <x:c r="B5" s="58" t="str">
        <x:f>COUNTIF($G$10:$G$209,"완료")&amp;"/"&amp;COUNTA($D$10:$D$209)&amp;" 완료"</x:f>
        <x:v>0/3 완료</x:v>
      </x:c>
      <x:c r="C5" s="54"/>
      <x:c r="D5" s="55" t="str">
        <x:v>총 항목</x:v>
      </x:c>
      <x:c r="E5" s="55" t="str">
        <x:v>완료</x:v>
      </x:c>
      <x:c r="F5" s="55" t="str">
        <x:v>미완료</x:v>
      </x:c>
      <x:c r="G5" s="54"/>
      <x:c r="H5" s="54"/>
    </x:row>
    <x:row r="6">
      <x:c r="A6" s="53" t="str">
        <x:v>진행률</x:v>
      </x:c>
      <x:c r="B6" s="59" t="n">
        <x:f>IF(COUNTA($D$10:$D$209)=0,0,COUNTIF($G$10:$G$209,"완료")/COUNTA($D$10:$D$209))</x:f>
        <x:v>0</x:v>
      </x:c>
      <x:c r="C6" s="54"/>
      <x:c r="D6" s="60" t="n">
        <x:f>COUNTA($D$10:$D$209)</x:f>
        <x:v>3</x:v>
      </x:c>
      <x:c r="E6" s="60" t="n">
        <x:f>COUNTIF($G$10:$G$209,"완료")</x:f>
        <x:v>0</x:v>
      </x:c>
      <x:c r="F6" s="60" t="n">
        <x:f>D6-E6</x:f>
        <x:v>3</x:v>
      </x:c>
      <x:c r="G6" s="54"/>
      <x:c r="H6" s="54"/>
    </x:row>
    <x:row r="7">
      <x:c r="A7" s="54"/>
      <x:c r="B7" s="54"/>
      <x:c r="C7" s="54"/>
      <x:c r="D7" s="54"/>
      <x:c r="E7" s="54"/>
      <x:c r="F7" s="54"/>
      <x:c r="G7" s="54"/>
      <x:c r="H7" s="54"/>
    </x:row>
    <x:row r="8">
      <x:c r="A8" s="54"/>
      <x:c r="B8" s="54"/>
      <x:c r="C8" s="54"/>
      <x:c r="D8" s="54"/>
      <x:c r="E8" s="54"/>
      <x:c r="F8" s="54"/>
      <x:c r="G8" s="54"/>
      <x:c r="H8" s="54"/>
    </x:row>
    <x:row r="9">
      <x:c r="A9" s="55" t="str">
        <x:v>순서</x:v>
      </x:c>
      <x:c r="B9" s="55" t="str">
        <x:v>분류</x:v>
      </x:c>
      <x:c r="C9" s="55" t="str">
        <x:v>카테고리</x:v>
      </x:c>
      <x:c r="D9" s="55" t="str">
        <x:v>할일</x:v>
      </x:c>
      <x:c r="E9" s="55" t="str">
        <x:v>담당</x:v>
      </x:c>
      <x:c r="F9" s="55" t="str">
        <x:v>메모</x:v>
      </x:c>
      <x:c r="G9" s="55" t="str">
        <x:v>완료여부</x:v>
      </x:c>
      <x:c r="H9" s="55" t="str">
        <x:v>완료일</x:v>
      </x:c>
    </x:row>
    <x:row r="10">
      <x:c r="A10" s="56" t="n">
        <x:v>1</x:v>
      </x:c>
      <x:c r="B10" s="56" t="str">
        <x:v>결혼 6개월 전</x:v>
      </x:c>
      <x:c r="C10" s="56" t="str">
        <x:v>계약</x:v>
      </x:c>
      <x:c r="D10" s="56" t="str">
        <x:v>웨딩홀 후보 정리</x:v>
      </x:c>
      <x:c r="E10" s="56" t="str">
        <x:v>신랑</x:v>
      </x:c>
      <x:c r="F10" s="56" t="str"/>
      <x:c r="G10" s="56" t="str">
        <x:v>미완료</x:v>
      </x:c>
      <x:c r="H10" s="61"/>
    </x:row>
    <x:row r="11">
      <x:c r="A11" s="56" t="n">
        <x:v>2</x:v>
      </x:c>
      <x:c r="B11" s="56" t="str">
        <x:v>결혼 3개월 전</x:v>
      </x:c>
      <x:c r="C11" s="56" t="str">
        <x:v>연락</x:v>
      </x:c>
      <x:c r="D11" s="56" t="str">
        <x:v>청첩장 전달 대상 점검</x:v>
      </x:c>
      <x:c r="E11" s="56" t="str">
        <x:v>신부</x:v>
      </x:c>
      <x:c r="F11" s="56" t="str"/>
      <x:c r="G11" s="56" t="str">
        <x:v>미완료</x:v>
      </x:c>
      <x:c r="H11" s="61"/>
    </x:row>
    <x:row r="12">
      <x:c r="A12" s="56" t="n">
        <x:v>3</x:v>
      </x:c>
      <x:c r="B12" s="56" t="str">
        <x:v>본식 이후</x:v>
      </x:c>
      <x:c r="C12" s="56" t="str">
        <x:v>정산</x:v>
      </x:c>
      <x:c r="D12" s="56" t="str">
        <x:v>예산 정산 확인</x:v>
      </x:c>
      <x:c r="E12" s="56" t="str">
        <x:v>공동</x:v>
      </x:c>
      <x:c r="F12" s="56" t="str"/>
      <x:c r="G12" s="56" t="str">
        <x:v>미완료</x:v>
      </x:c>
      <x:c r="H12" s="61"/>
    </x:row>
    <x:row r="13">
      <x:c r="A13" s="56"/>
      <x:c r="B13" s="56"/>
      <x:c r="C13" s="56"/>
      <x:c r="D13" s="56"/>
      <x:c r="E13" s="56"/>
      <x:c r="F13" s="56"/>
      <x:c r="G13" s="56"/>
      <x:c r="H13" s="61"/>
    </x:row>
    <x:row r="14">
      <x:c r="A14" s="56"/>
      <x:c r="B14" s="56"/>
      <x:c r="C14" s="56"/>
      <x:c r="D14" s="56"/>
      <x:c r="E14" s="56"/>
      <x:c r="F14" s="56"/>
      <x:c r="G14" s="56"/>
      <x:c r="H14" s="61"/>
    </x:row>
    <x:row r="15">
      <x:c r="A15" s="56"/>
      <x:c r="B15" s="56"/>
      <x:c r="C15" s="56"/>
      <x:c r="D15" s="56"/>
      <x:c r="E15" s="56"/>
      <x:c r="F15" s="56"/>
      <x:c r="G15" s="56"/>
      <x:c r="H15" s="61"/>
    </x:row>
    <x:row r="16">
      <x:c r="A16" s="56"/>
      <x:c r="B16" s="56"/>
      <x:c r="C16" s="56"/>
      <x:c r="D16" s="56"/>
      <x:c r="E16" s="56"/>
      <x:c r="F16" s="56"/>
      <x:c r="G16" s="56"/>
      <x:c r="H16" s="61"/>
    </x:row>
    <x:row r="17">
      <x:c r="A17" s="56"/>
      <x:c r="B17" s="56"/>
      <x:c r="C17" s="56"/>
      <x:c r="D17" s="56"/>
      <x:c r="E17" s="56"/>
      <x:c r="F17" s="56"/>
      <x:c r="G17" s="56"/>
      <x:c r="H17" s="61"/>
    </x:row>
    <x:row r="18">
      <x:c r="A18" s="56"/>
      <x:c r="B18" s="56"/>
      <x:c r="C18" s="56"/>
      <x:c r="D18" s="56"/>
      <x:c r="E18" s="56"/>
      <x:c r="F18" s="56"/>
      <x:c r="G18" s="56"/>
      <x:c r="H18" s="61"/>
    </x:row>
    <x:row r="19">
      <x:c r="A19" s="56"/>
      <x:c r="B19" s="56"/>
      <x:c r="C19" s="56"/>
      <x:c r="D19" s="56"/>
      <x:c r="E19" s="56"/>
      <x:c r="F19" s="56"/>
      <x:c r="G19" s="56"/>
      <x:c r="H19" s="61"/>
    </x:row>
    <x:row r="20">
      <x:c r="A20" s="56"/>
      <x:c r="B20" s="56"/>
      <x:c r="C20" s="56"/>
      <x:c r="D20" s="56"/>
      <x:c r="E20" s="56"/>
      <x:c r="F20" s="56"/>
      <x:c r="G20" s="56"/>
      <x:c r="H20" s="61"/>
    </x:row>
    <x:row r="21">
      <x:c r="A21" s="56"/>
      <x:c r="B21" s="56"/>
      <x:c r="C21" s="56"/>
      <x:c r="D21" s="56"/>
      <x:c r="E21" s="56"/>
      <x:c r="F21" s="56"/>
      <x:c r="G21" s="56"/>
      <x:c r="H21" s="61"/>
    </x:row>
    <x:row r="22">
      <x:c r="A22" s="56"/>
      <x:c r="B22" s="56"/>
      <x:c r="C22" s="56"/>
      <x:c r="D22" s="56"/>
      <x:c r="E22" s="56"/>
      <x:c r="F22" s="56"/>
      <x:c r="G22" s="56"/>
      <x:c r="H22" s="61"/>
    </x:row>
    <x:row r="23">
      <x:c r="A23" s="56"/>
      <x:c r="B23" s="56"/>
      <x:c r="C23" s="56"/>
      <x:c r="D23" s="56"/>
      <x:c r="E23" s="56"/>
      <x:c r="F23" s="56"/>
      <x:c r="G23" s="56"/>
      <x:c r="H23" s="61"/>
    </x:row>
    <x:row r="24">
      <x:c r="A24" s="56"/>
      <x:c r="B24" s="56"/>
      <x:c r="C24" s="56"/>
      <x:c r="D24" s="56"/>
      <x:c r="E24" s="56"/>
      <x:c r="F24" s="56"/>
      <x:c r="G24" s="56"/>
      <x:c r="H24" s="61"/>
    </x:row>
    <x:row r="25">
      <x:c r="A25" s="56"/>
      <x:c r="B25" s="56"/>
      <x:c r="C25" s="56"/>
      <x:c r="D25" s="56"/>
      <x:c r="E25" s="56"/>
      <x:c r="F25" s="56"/>
      <x:c r="G25" s="56"/>
      <x:c r="H25" s="61"/>
    </x:row>
    <x:row r="26">
      <x:c r="A26" s="56"/>
      <x:c r="B26" s="56"/>
      <x:c r="C26" s="56"/>
      <x:c r="D26" s="56"/>
      <x:c r="E26" s="56"/>
      <x:c r="F26" s="56"/>
      <x:c r="G26" s="56"/>
      <x:c r="H26" s="61"/>
    </x:row>
    <x:row r="27">
      <x:c r="A27" s="56"/>
      <x:c r="B27" s="56"/>
      <x:c r="C27" s="56"/>
      <x:c r="D27" s="56"/>
      <x:c r="E27" s="56"/>
      <x:c r="F27" s="56"/>
      <x:c r="G27" s="56"/>
      <x:c r="H27" s="61"/>
    </x:row>
    <x:row r="28">
      <x:c r="A28" s="56"/>
      <x:c r="B28" s="56"/>
      <x:c r="C28" s="56"/>
      <x:c r="D28" s="56"/>
      <x:c r="E28" s="56"/>
      <x:c r="F28" s="56"/>
      <x:c r="G28" s="56"/>
      <x:c r="H28" s="61"/>
    </x:row>
    <x:row r="29">
      <x:c r="A29" s="56"/>
      <x:c r="B29" s="56"/>
      <x:c r="C29" s="56"/>
      <x:c r="D29" s="56"/>
      <x:c r="E29" s="56"/>
      <x:c r="F29" s="56"/>
      <x:c r="G29" s="56"/>
      <x:c r="H29" s="61"/>
    </x:row>
    <x:row r="30">
      <x:c r="A30" s="56"/>
      <x:c r="B30" s="56"/>
      <x:c r="C30" s="56"/>
      <x:c r="D30" s="56"/>
      <x:c r="E30" s="56"/>
      <x:c r="F30" s="56"/>
      <x:c r="G30" s="56"/>
      <x:c r="H30" s="61"/>
    </x:row>
    <x:row r="31">
      <x:c r="A31" s="56"/>
      <x:c r="B31" s="56"/>
      <x:c r="C31" s="56"/>
      <x:c r="D31" s="56"/>
      <x:c r="E31" s="56"/>
      <x:c r="F31" s="56"/>
      <x:c r="G31" s="56"/>
      <x:c r="H31" s="61"/>
    </x:row>
    <x:row r="32">
      <x:c r="A32" s="56"/>
      <x:c r="B32" s="56"/>
      <x:c r="C32" s="56"/>
      <x:c r="D32" s="56"/>
      <x:c r="E32" s="56"/>
      <x:c r="F32" s="56"/>
      <x:c r="G32" s="56"/>
      <x:c r="H32" s="61"/>
    </x:row>
    <x:row r="33">
      <x:c r="A33" s="56"/>
      <x:c r="B33" s="56"/>
      <x:c r="C33" s="56"/>
      <x:c r="D33" s="56"/>
      <x:c r="E33" s="56"/>
      <x:c r="F33" s="56"/>
      <x:c r="G33" s="56"/>
      <x:c r="H33" s="61"/>
    </x:row>
    <x:row r="34">
      <x:c r="A34" s="56"/>
      <x:c r="B34" s="56"/>
      <x:c r="C34" s="56"/>
      <x:c r="D34" s="56"/>
      <x:c r="E34" s="56"/>
      <x:c r="F34" s="56"/>
      <x:c r="G34" s="56"/>
      <x:c r="H34" s="61"/>
    </x:row>
    <x:row r="35">
      <x:c r="A35" s="56"/>
      <x:c r="B35" s="56"/>
      <x:c r="C35" s="56"/>
      <x:c r="D35" s="56"/>
      <x:c r="E35" s="56"/>
      <x:c r="F35" s="56"/>
      <x:c r="G35" s="56"/>
      <x:c r="H35" s="61"/>
    </x:row>
    <x:row r="36">
      <x:c r="A36" s="56"/>
      <x:c r="B36" s="56"/>
      <x:c r="C36" s="56"/>
      <x:c r="D36" s="56"/>
      <x:c r="E36" s="56"/>
      <x:c r="F36" s="56"/>
      <x:c r="G36" s="56"/>
      <x:c r="H36" s="61"/>
    </x:row>
    <x:row r="37">
      <x:c r="A37" s="56"/>
      <x:c r="B37" s="56"/>
      <x:c r="C37" s="56"/>
      <x:c r="D37" s="56"/>
      <x:c r="E37" s="56"/>
      <x:c r="F37" s="56"/>
      <x:c r="G37" s="56"/>
      <x:c r="H37" s="61"/>
    </x:row>
    <x:row r="38">
      <x:c r="A38" s="56"/>
      <x:c r="B38" s="56"/>
      <x:c r="C38" s="56"/>
      <x:c r="D38" s="56"/>
      <x:c r="E38" s="56"/>
      <x:c r="F38" s="56"/>
      <x:c r="G38" s="56"/>
      <x:c r="H38" s="61"/>
    </x:row>
    <x:row r="39">
      <x:c r="A39" s="56"/>
      <x:c r="B39" s="56"/>
      <x:c r="C39" s="56"/>
      <x:c r="D39" s="56"/>
      <x:c r="E39" s="56"/>
      <x:c r="F39" s="56"/>
      <x:c r="G39" s="56"/>
      <x:c r="H39" s="61"/>
    </x:row>
    <x:row r="40">
      <x:c r="A40" s="56"/>
      <x:c r="B40" s="56"/>
      <x:c r="C40" s="56"/>
      <x:c r="D40" s="56"/>
      <x:c r="E40" s="56"/>
      <x:c r="F40" s="56"/>
      <x:c r="G40" s="56"/>
      <x:c r="H40" s="61"/>
    </x:row>
    <x:row r="41">
      <x:c r="A41" s="56"/>
      <x:c r="B41" s="56"/>
      <x:c r="C41" s="56"/>
      <x:c r="D41" s="56"/>
      <x:c r="E41" s="56"/>
      <x:c r="F41" s="56"/>
      <x:c r="G41" s="56"/>
      <x:c r="H41" s="61"/>
    </x:row>
    <x:row r="42">
      <x:c r="A42" s="56"/>
      <x:c r="B42" s="56"/>
      <x:c r="C42" s="56"/>
      <x:c r="D42" s="56"/>
      <x:c r="E42" s="56"/>
      <x:c r="F42" s="56"/>
      <x:c r="G42" s="56"/>
      <x:c r="H42" s="61"/>
    </x:row>
    <x:row r="43">
      <x:c r="A43" s="56"/>
      <x:c r="B43" s="56"/>
      <x:c r="C43" s="56"/>
      <x:c r="D43" s="56"/>
      <x:c r="E43" s="56"/>
      <x:c r="F43" s="56"/>
      <x:c r="G43" s="56"/>
      <x:c r="H43" s="61"/>
    </x:row>
    <x:row r="44">
      <x:c r="A44" s="56"/>
      <x:c r="B44" s="56"/>
      <x:c r="C44" s="56"/>
      <x:c r="D44" s="56"/>
      <x:c r="E44" s="56"/>
      <x:c r="F44" s="56"/>
      <x:c r="G44" s="56"/>
      <x:c r="H44" s="61"/>
    </x:row>
    <x:row r="45">
      <x:c r="A45" s="56"/>
      <x:c r="B45" s="56"/>
      <x:c r="C45" s="56"/>
      <x:c r="D45" s="56"/>
      <x:c r="E45" s="56"/>
      <x:c r="F45" s="56"/>
      <x:c r="G45" s="56"/>
      <x:c r="H45" s="61"/>
    </x:row>
    <x:row r="46">
      <x:c r="A46" s="56"/>
      <x:c r="B46" s="56"/>
      <x:c r="C46" s="56"/>
      <x:c r="D46" s="56"/>
      <x:c r="E46" s="56"/>
      <x:c r="F46" s="56"/>
      <x:c r="G46" s="56"/>
      <x:c r="H46" s="61"/>
    </x:row>
    <x:row r="47">
      <x:c r="A47" s="56"/>
      <x:c r="B47" s="56"/>
      <x:c r="C47" s="56"/>
      <x:c r="D47" s="56"/>
      <x:c r="E47" s="56"/>
      <x:c r="F47" s="56"/>
      <x:c r="G47" s="56"/>
      <x:c r="H47" s="61"/>
    </x:row>
    <x:row r="48">
      <x:c r="A48" s="56"/>
      <x:c r="B48" s="56"/>
      <x:c r="C48" s="56"/>
      <x:c r="D48" s="56"/>
      <x:c r="E48" s="56"/>
      <x:c r="F48" s="56"/>
      <x:c r="G48" s="56"/>
      <x:c r="H48" s="61"/>
    </x:row>
    <x:row r="49">
      <x:c r="A49" s="56"/>
      <x:c r="B49" s="56"/>
      <x:c r="C49" s="56"/>
      <x:c r="D49" s="56"/>
      <x:c r="E49" s="56"/>
      <x:c r="F49" s="56"/>
      <x:c r="G49" s="56"/>
      <x:c r="H49" s="61"/>
    </x:row>
    <x:row r="50">
      <x:c r="A50" s="56"/>
      <x:c r="B50" s="56"/>
      <x:c r="C50" s="56"/>
      <x:c r="D50" s="56"/>
      <x:c r="E50" s="56"/>
      <x:c r="F50" s="56"/>
      <x:c r="G50" s="56"/>
      <x:c r="H50" s="61"/>
    </x:row>
    <x:row r="51">
      <x:c r="A51" s="56"/>
      <x:c r="B51" s="56"/>
      <x:c r="C51" s="56"/>
      <x:c r="D51" s="56"/>
      <x:c r="E51" s="56"/>
      <x:c r="F51" s="56"/>
      <x:c r="G51" s="56"/>
      <x:c r="H51" s="61"/>
    </x:row>
    <x:row r="52">
      <x:c r="A52" s="56"/>
      <x:c r="B52" s="56"/>
      <x:c r="C52" s="56"/>
      <x:c r="D52" s="56"/>
      <x:c r="E52" s="56"/>
      <x:c r="F52" s="56"/>
      <x:c r="G52" s="56"/>
      <x:c r="H52" s="61"/>
    </x:row>
    <x:row r="53">
      <x:c r="A53" s="56"/>
      <x:c r="B53" s="56"/>
      <x:c r="C53" s="56"/>
      <x:c r="D53" s="56"/>
      <x:c r="E53" s="56"/>
      <x:c r="F53" s="56"/>
      <x:c r="G53" s="56"/>
      <x:c r="H53" s="61"/>
    </x:row>
    <x:row r="54">
      <x:c r="A54" s="56"/>
      <x:c r="B54" s="56"/>
      <x:c r="C54" s="56"/>
      <x:c r="D54" s="56"/>
      <x:c r="E54" s="56"/>
      <x:c r="F54" s="56"/>
      <x:c r="G54" s="56"/>
      <x:c r="H54" s="61"/>
    </x:row>
    <x:row r="55">
      <x:c r="A55" s="56"/>
      <x:c r="B55" s="56"/>
      <x:c r="C55" s="56"/>
      <x:c r="D55" s="56"/>
      <x:c r="E55" s="56"/>
      <x:c r="F55" s="56"/>
      <x:c r="G55" s="56"/>
      <x:c r="H55" s="61"/>
    </x:row>
    <x:row r="56">
      <x:c r="A56" s="56"/>
      <x:c r="B56" s="56"/>
      <x:c r="C56" s="56"/>
      <x:c r="D56" s="56"/>
      <x:c r="E56" s="56"/>
      <x:c r="F56" s="56"/>
      <x:c r="G56" s="56"/>
      <x:c r="H56" s="61"/>
    </x:row>
    <x:row r="57">
      <x:c r="A57" s="56"/>
      <x:c r="B57" s="56"/>
      <x:c r="C57" s="56"/>
      <x:c r="D57" s="56"/>
      <x:c r="E57" s="56"/>
      <x:c r="F57" s="56"/>
      <x:c r="G57" s="56"/>
      <x:c r="H57" s="61"/>
    </x:row>
    <x:row r="58">
      <x:c r="A58" s="56"/>
      <x:c r="B58" s="56"/>
      <x:c r="C58" s="56"/>
      <x:c r="D58" s="56"/>
      <x:c r="E58" s="56"/>
      <x:c r="F58" s="56"/>
      <x:c r="G58" s="56"/>
      <x:c r="H58" s="61"/>
    </x:row>
    <x:row r="59">
      <x:c r="A59" s="56"/>
      <x:c r="B59" s="56"/>
      <x:c r="C59" s="56"/>
      <x:c r="D59" s="56"/>
      <x:c r="E59" s="56"/>
      <x:c r="F59" s="56"/>
      <x:c r="G59" s="56"/>
      <x:c r="H59" s="61"/>
    </x:row>
    <x:row r="60">
      <x:c r="A60" s="56"/>
      <x:c r="B60" s="56"/>
      <x:c r="C60" s="56"/>
      <x:c r="D60" s="56"/>
      <x:c r="E60" s="56"/>
      <x:c r="F60" s="56"/>
      <x:c r="G60" s="56"/>
      <x:c r="H60" s="61"/>
    </x:row>
    <x:row r="61">
      <x:c r="A61" s="56"/>
      <x:c r="B61" s="56"/>
      <x:c r="C61" s="56"/>
      <x:c r="D61" s="56"/>
      <x:c r="E61" s="56"/>
      <x:c r="F61" s="56"/>
      <x:c r="G61" s="56"/>
      <x:c r="H61" s="61"/>
    </x:row>
    <x:row r="62">
      <x:c r="A62" s="56"/>
      <x:c r="B62" s="56"/>
      <x:c r="C62" s="56"/>
      <x:c r="D62" s="56"/>
      <x:c r="E62" s="56"/>
      <x:c r="F62" s="56"/>
      <x:c r="G62" s="56"/>
      <x:c r="H62" s="61"/>
    </x:row>
    <x:row r="63">
      <x:c r="A63" s="56"/>
      <x:c r="B63" s="56"/>
      <x:c r="C63" s="56"/>
      <x:c r="D63" s="56"/>
      <x:c r="E63" s="56"/>
      <x:c r="F63" s="56"/>
      <x:c r="G63" s="56"/>
      <x:c r="H63" s="61"/>
    </x:row>
    <x:row r="64">
      <x:c r="A64" s="56"/>
      <x:c r="B64" s="56"/>
      <x:c r="C64" s="56"/>
      <x:c r="D64" s="56"/>
      <x:c r="E64" s="56"/>
      <x:c r="F64" s="56"/>
      <x:c r="G64" s="56"/>
      <x:c r="H64" s="61"/>
    </x:row>
    <x:row r="65">
      <x:c r="A65" s="56"/>
      <x:c r="B65" s="56"/>
      <x:c r="C65" s="56"/>
      <x:c r="D65" s="56"/>
      <x:c r="E65" s="56"/>
      <x:c r="F65" s="56"/>
      <x:c r="G65" s="56"/>
      <x:c r="H65" s="61"/>
    </x:row>
    <x:row r="66">
      <x:c r="A66" s="56"/>
      <x:c r="B66" s="56"/>
      <x:c r="C66" s="56"/>
      <x:c r="D66" s="56"/>
      <x:c r="E66" s="56"/>
      <x:c r="F66" s="56"/>
      <x:c r="G66" s="56"/>
      <x:c r="H66" s="61"/>
    </x:row>
    <x:row r="67">
      <x:c r="A67" s="56"/>
      <x:c r="B67" s="56"/>
      <x:c r="C67" s="56"/>
      <x:c r="D67" s="56"/>
      <x:c r="E67" s="56"/>
      <x:c r="F67" s="56"/>
      <x:c r="G67" s="56"/>
      <x:c r="H67" s="61"/>
    </x:row>
    <x:row r="68">
      <x:c r="A68" s="56"/>
      <x:c r="B68" s="56"/>
      <x:c r="C68" s="56"/>
      <x:c r="D68" s="56"/>
      <x:c r="E68" s="56"/>
      <x:c r="F68" s="56"/>
      <x:c r="G68" s="56"/>
      <x:c r="H68" s="61"/>
    </x:row>
    <x:row r="69">
      <x:c r="A69" s="56"/>
      <x:c r="B69" s="56"/>
      <x:c r="C69" s="56"/>
      <x:c r="D69" s="56"/>
      <x:c r="E69" s="56"/>
      <x:c r="F69" s="56"/>
      <x:c r="G69" s="56"/>
      <x:c r="H69" s="61"/>
    </x:row>
    <x:row r="70">
      <x:c r="A70" s="56"/>
      <x:c r="B70" s="56"/>
      <x:c r="C70" s="56"/>
      <x:c r="D70" s="56"/>
      <x:c r="E70" s="56"/>
      <x:c r="F70" s="56"/>
      <x:c r="G70" s="56"/>
      <x:c r="H70" s="61"/>
    </x:row>
    <x:row r="71">
      <x:c r="A71" s="56"/>
      <x:c r="B71" s="56"/>
      <x:c r="C71" s="56"/>
      <x:c r="D71" s="56"/>
      <x:c r="E71" s="56"/>
      <x:c r="F71" s="56"/>
      <x:c r="G71" s="56"/>
      <x:c r="H71" s="61"/>
    </x:row>
    <x:row r="72">
      <x:c r="A72" s="56"/>
      <x:c r="B72" s="56"/>
      <x:c r="C72" s="56"/>
      <x:c r="D72" s="56"/>
      <x:c r="E72" s="56"/>
      <x:c r="F72" s="56"/>
      <x:c r="G72" s="56"/>
      <x:c r="H72" s="61"/>
    </x:row>
    <x:row r="73">
      <x:c r="A73" s="56"/>
      <x:c r="B73" s="56"/>
      <x:c r="C73" s="56"/>
      <x:c r="D73" s="56"/>
      <x:c r="E73" s="56"/>
      <x:c r="F73" s="56"/>
      <x:c r="G73" s="56"/>
      <x:c r="H73" s="61"/>
    </x:row>
    <x:row r="74">
      <x:c r="A74" s="56"/>
      <x:c r="B74" s="56"/>
      <x:c r="C74" s="56"/>
      <x:c r="D74" s="56"/>
      <x:c r="E74" s="56"/>
      <x:c r="F74" s="56"/>
      <x:c r="G74" s="56"/>
      <x:c r="H74" s="61"/>
    </x:row>
    <x:row r="75">
      <x:c r="A75" s="56"/>
      <x:c r="B75" s="56"/>
      <x:c r="C75" s="56"/>
      <x:c r="D75" s="56"/>
      <x:c r="E75" s="56"/>
      <x:c r="F75" s="56"/>
      <x:c r="G75" s="56"/>
      <x:c r="H75" s="61"/>
    </x:row>
    <x:row r="76">
      <x:c r="A76" s="56"/>
      <x:c r="B76" s="56"/>
      <x:c r="C76" s="56"/>
      <x:c r="D76" s="56"/>
      <x:c r="E76" s="56"/>
      <x:c r="F76" s="56"/>
      <x:c r="G76" s="56"/>
      <x:c r="H76" s="61"/>
    </x:row>
    <x:row r="77">
      <x:c r="A77" s="56"/>
      <x:c r="B77" s="56"/>
      <x:c r="C77" s="56"/>
      <x:c r="D77" s="56"/>
      <x:c r="E77" s="56"/>
      <x:c r="F77" s="56"/>
      <x:c r="G77" s="56"/>
      <x:c r="H77" s="61"/>
    </x:row>
    <x:row r="78">
      <x:c r="A78" s="56"/>
      <x:c r="B78" s="56"/>
      <x:c r="C78" s="56"/>
      <x:c r="D78" s="56"/>
      <x:c r="E78" s="56"/>
      <x:c r="F78" s="56"/>
      <x:c r="G78" s="56"/>
      <x:c r="H78" s="61"/>
    </x:row>
    <x:row r="79">
      <x:c r="A79" s="56"/>
      <x:c r="B79" s="56"/>
      <x:c r="C79" s="56"/>
      <x:c r="D79" s="56"/>
      <x:c r="E79" s="56"/>
      <x:c r="F79" s="56"/>
      <x:c r="G79" s="56"/>
      <x:c r="H79" s="61"/>
    </x:row>
    <x:row r="80">
      <x:c r="A80" s="56"/>
      <x:c r="B80" s="56"/>
      <x:c r="C80" s="56"/>
      <x:c r="D80" s="56"/>
      <x:c r="E80" s="56"/>
      <x:c r="F80" s="56"/>
      <x:c r="G80" s="56"/>
      <x:c r="H80" s="61"/>
    </x:row>
    <x:row r="81">
      <x:c r="A81" s="56"/>
      <x:c r="B81" s="56"/>
      <x:c r="C81" s="56"/>
      <x:c r="D81" s="56"/>
      <x:c r="E81" s="56"/>
      <x:c r="F81" s="56"/>
      <x:c r="G81" s="56"/>
      <x:c r="H81" s="61"/>
    </x:row>
    <x:row r="82">
      <x:c r="A82" s="56"/>
      <x:c r="B82" s="56"/>
      <x:c r="C82" s="56"/>
      <x:c r="D82" s="56"/>
      <x:c r="E82" s="56"/>
      <x:c r="F82" s="56"/>
      <x:c r="G82" s="56"/>
      <x:c r="H82" s="61"/>
    </x:row>
    <x:row r="83">
      <x:c r="A83" s="56"/>
      <x:c r="B83" s="56"/>
      <x:c r="C83" s="56"/>
      <x:c r="D83" s="56"/>
      <x:c r="E83" s="56"/>
      <x:c r="F83" s="56"/>
      <x:c r="G83" s="56"/>
      <x:c r="H83" s="61"/>
    </x:row>
    <x:row r="84">
      <x:c r="A84" s="56"/>
      <x:c r="B84" s="56"/>
      <x:c r="C84" s="56"/>
      <x:c r="D84" s="56"/>
      <x:c r="E84" s="56"/>
      <x:c r="F84" s="56"/>
      <x:c r="G84" s="56"/>
      <x:c r="H84" s="61"/>
    </x:row>
    <x:row r="85">
      <x:c r="A85" s="56"/>
      <x:c r="B85" s="56"/>
      <x:c r="C85" s="56"/>
      <x:c r="D85" s="56"/>
      <x:c r="E85" s="56"/>
      <x:c r="F85" s="56"/>
      <x:c r="G85" s="56"/>
      <x:c r="H85" s="61"/>
    </x:row>
    <x:row r="86">
      <x:c r="A86" s="56"/>
      <x:c r="B86" s="56"/>
      <x:c r="C86" s="56"/>
      <x:c r="D86" s="56"/>
      <x:c r="E86" s="56"/>
      <x:c r="F86" s="56"/>
      <x:c r="G86" s="56"/>
      <x:c r="H86" s="61"/>
    </x:row>
    <x:row r="87">
      <x:c r="A87" s="56"/>
      <x:c r="B87" s="56"/>
      <x:c r="C87" s="56"/>
      <x:c r="D87" s="56"/>
      <x:c r="E87" s="56"/>
      <x:c r="F87" s="56"/>
      <x:c r="G87" s="56"/>
      <x:c r="H87" s="61"/>
    </x:row>
    <x:row r="88">
      <x:c r="A88" s="56"/>
      <x:c r="B88" s="56"/>
      <x:c r="C88" s="56"/>
      <x:c r="D88" s="56"/>
      <x:c r="E88" s="56"/>
      <x:c r="F88" s="56"/>
      <x:c r="G88" s="56"/>
      <x:c r="H88" s="61"/>
    </x:row>
    <x:row r="89">
      <x:c r="A89" s="56"/>
      <x:c r="B89" s="56"/>
      <x:c r="C89" s="56"/>
      <x:c r="D89" s="56"/>
      <x:c r="E89" s="56"/>
      <x:c r="F89" s="56"/>
      <x:c r="G89" s="56"/>
      <x:c r="H89" s="61"/>
    </x:row>
    <x:row r="90">
      <x:c r="A90" s="56"/>
      <x:c r="B90" s="56"/>
      <x:c r="C90" s="56"/>
      <x:c r="D90" s="56"/>
      <x:c r="E90" s="56"/>
      <x:c r="F90" s="56"/>
      <x:c r="G90" s="56"/>
      <x:c r="H90" s="61"/>
    </x:row>
    <x:row r="91">
      <x:c r="A91" s="56"/>
      <x:c r="B91" s="56"/>
      <x:c r="C91" s="56"/>
      <x:c r="D91" s="56"/>
      <x:c r="E91" s="56"/>
      <x:c r="F91" s="56"/>
      <x:c r="G91" s="56"/>
      <x:c r="H91" s="61"/>
    </x:row>
    <x:row r="92">
      <x:c r="A92" s="56"/>
      <x:c r="B92" s="56"/>
      <x:c r="C92" s="56"/>
      <x:c r="D92" s="56"/>
      <x:c r="E92" s="56"/>
      <x:c r="F92" s="56"/>
      <x:c r="G92" s="56"/>
      <x:c r="H92" s="61"/>
    </x:row>
    <x:row r="93">
      <x:c r="A93" s="56"/>
      <x:c r="B93" s="56"/>
      <x:c r="C93" s="56"/>
      <x:c r="D93" s="56"/>
      <x:c r="E93" s="56"/>
      <x:c r="F93" s="56"/>
      <x:c r="G93" s="56"/>
      <x:c r="H93" s="61"/>
    </x:row>
    <x:row r="94">
      <x:c r="A94" s="56"/>
      <x:c r="B94" s="56"/>
      <x:c r="C94" s="56"/>
      <x:c r="D94" s="56"/>
      <x:c r="E94" s="56"/>
      <x:c r="F94" s="56"/>
      <x:c r="G94" s="56"/>
      <x:c r="H94" s="61"/>
    </x:row>
    <x:row r="95">
      <x:c r="A95" s="56"/>
      <x:c r="B95" s="56"/>
      <x:c r="C95" s="56"/>
      <x:c r="D95" s="56"/>
      <x:c r="E95" s="56"/>
      <x:c r="F95" s="56"/>
      <x:c r="G95" s="56"/>
      <x:c r="H95" s="61"/>
    </x:row>
    <x:row r="96">
      <x:c r="A96" s="56"/>
      <x:c r="B96" s="56"/>
      <x:c r="C96" s="56"/>
      <x:c r="D96" s="56"/>
      <x:c r="E96" s="56"/>
      <x:c r="F96" s="56"/>
      <x:c r="G96" s="56"/>
      <x:c r="H96" s="61"/>
    </x:row>
    <x:row r="97">
      <x:c r="A97" s="56"/>
      <x:c r="B97" s="56"/>
      <x:c r="C97" s="56"/>
      <x:c r="D97" s="56"/>
      <x:c r="E97" s="56"/>
      <x:c r="F97" s="56"/>
      <x:c r="G97" s="56"/>
      <x:c r="H97" s="61"/>
    </x:row>
    <x:row r="98">
      <x:c r="A98" s="56"/>
      <x:c r="B98" s="56"/>
      <x:c r="C98" s="56"/>
      <x:c r="D98" s="56"/>
      <x:c r="E98" s="56"/>
      <x:c r="F98" s="56"/>
      <x:c r="G98" s="56"/>
      <x:c r="H98" s="61"/>
    </x:row>
    <x:row r="99">
      <x:c r="A99" s="56"/>
      <x:c r="B99" s="56"/>
      <x:c r="C99" s="56"/>
      <x:c r="D99" s="56"/>
      <x:c r="E99" s="56"/>
      <x:c r="F99" s="56"/>
      <x:c r="G99" s="56"/>
      <x:c r="H99" s="61"/>
    </x:row>
    <x:row r="100">
      <x:c r="A100" s="56"/>
      <x:c r="B100" s="56"/>
      <x:c r="C100" s="56"/>
      <x:c r="D100" s="56"/>
      <x:c r="E100" s="56"/>
      <x:c r="F100" s="56"/>
      <x:c r="G100" s="56"/>
      <x:c r="H100" s="61"/>
    </x:row>
    <x:row r="101">
      <x:c r="A101" s="56"/>
      <x:c r="B101" s="56"/>
      <x:c r="C101" s="56"/>
      <x:c r="D101" s="56"/>
      <x:c r="E101" s="56"/>
      <x:c r="F101" s="56"/>
      <x:c r="G101" s="56"/>
      <x:c r="H101" s="61"/>
    </x:row>
    <x:row r="102">
      <x:c r="A102" s="56"/>
      <x:c r="B102" s="56"/>
      <x:c r="C102" s="56"/>
      <x:c r="D102" s="56"/>
      <x:c r="E102" s="56"/>
      <x:c r="F102" s="56"/>
      <x:c r="G102" s="56"/>
      <x:c r="H102" s="61"/>
    </x:row>
    <x:row r="103">
      <x:c r="A103" s="56"/>
      <x:c r="B103" s="56"/>
      <x:c r="C103" s="56"/>
      <x:c r="D103" s="56"/>
      <x:c r="E103" s="56"/>
      <x:c r="F103" s="56"/>
      <x:c r="G103" s="56"/>
      <x:c r="H103" s="61"/>
    </x:row>
    <x:row r="104">
      <x:c r="A104" s="56"/>
      <x:c r="B104" s="56"/>
      <x:c r="C104" s="56"/>
      <x:c r="D104" s="56"/>
      <x:c r="E104" s="56"/>
      <x:c r="F104" s="56"/>
      <x:c r="G104" s="56"/>
      <x:c r="H104" s="61"/>
    </x:row>
    <x:row r="105">
      <x:c r="A105" s="56"/>
      <x:c r="B105" s="56"/>
      <x:c r="C105" s="56"/>
      <x:c r="D105" s="56"/>
      <x:c r="E105" s="56"/>
      <x:c r="F105" s="56"/>
      <x:c r="G105" s="56"/>
      <x:c r="H105" s="61"/>
    </x:row>
    <x:row r="106">
      <x:c r="A106" s="56"/>
      <x:c r="B106" s="56"/>
      <x:c r="C106" s="56"/>
      <x:c r="D106" s="56"/>
      <x:c r="E106" s="56"/>
      <x:c r="F106" s="56"/>
      <x:c r="G106" s="56"/>
      <x:c r="H106" s="61"/>
    </x:row>
    <x:row r="107">
      <x:c r="A107" s="56"/>
      <x:c r="B107" s="56"/>
      <x:c r="C107" s="56"/>
      <x:c r="D107" s="56"/>
      <x:c r="E107" s="56"/>
      <x:c r="F107" s="56"/>
      <x:c r="G107" s="56"/>
      <x:c r="H107" s="61"/>
    </x:row>
    <x:row r="108">
      <x:c r="A108" s="56"/>
      <x:c r="B108" s="56"/>
      <x:c r="C108" s="56"/>
      <x:c r="D108" s="56"/>
      <x:c r="E108" s="56"/>
      <x:c r="F108" s="56"/>
      <x:c r="G108" s="56"/>
      <x:c r="H108" s="61"/>
    </x:row>
    <x:row r="109">
      <x:c r="A109" s="56"/>
      <x:c r="B109" s="56"/>
      <x:c r="C109" s="56"/>
      <x:c r="D109" s="56"/>
      <x:c r="E109" s="56"/>
      <x:c r="F109" s="56"/>
      <x:c r="G109" s="56"/>
      <x:c r="H109" s="61"/>
    </x:row>
    <x:row r="110">
      <x:c r="A110" s="56"/>
      <x:c r="B110" s="56"/>
      <x:c r="C110" s="56"/>
      <x:c r="D110" s="56"/>
      <x:c r="E110" s="56"/>
      <x:c r="F110" s="56"/>
      <x:c r="G110" s="56"/>
      <x:c r="H110" s="61"/>
    </x:row>
    <x:row r="111">
      <x:c r="A111" s="56"/>
      <x:c r="B111" s="56"/>
      <x:c r="C111" s="56"/>
      <x:c r="D111" s="56"/>
      <x:c r="E111" s="56"/>
      <x:c r="F111" s="56"/>
      <x:c r="G111" s="56"/>
      <x:c r="H111" s="61"/>
    </x:row>
    <x:row r="112">
      <x:c r="A112" s="56"/>
      <x:c r="B112" s="56"/>
      <x:c r="C112" s="56"/>
      <x:c r="D112" s="56"/>
      <x:c r="E112" s="56"/>
      <x:c r="F112" s="56"/>
      <x:c r="G112" s="56"/>
      <x:c r="H112" s="61"/>
    </x:row>
    <x:row r="113">
      <x:c r="A113" s="56"/>
      <x:c r="B113" s="56"/>
      <x:c r="C113" s="56"/>
      <x:c r="D113" s="56"/>
      <x:c r="E113" s="56"/>
      <x:c r="F113" s="56"/>
      <x:c r="G113" s="56"/>
      <x:c r="H113" s="61"/>
    </x:row>
    <x:row r="114">
      <x:c r="A114" s="56"/>
      <x:c r="B114" s="56"/>
      <x:c r="C114" s="56"/>
      <x:c r="D114" s="56"/>
      <x:c r="E114" s="56"/>
      <x:c r="F114" s="56"/>
      <x:c r="G114" s="56"/>
      <x:c r="H114" s="61"/>
    </x:row>
    <x:row r="115">
      <x:c r="A115" s="56"/>
      <x:c r="B115" s="56"/>
      <x:c r="C115" s="56"/>
      <x:c r="D115" s="56"/>
      <x:c r="E115" s="56"/>
      <x:c r="F115" s="56"/>
      <x:c r="G115" s="56"/>
      <x:c r="H115" s="61"/>
    </x:row>
    <x:row r="116">
      <x:c r="A116" s="56"/>
      <x:c r="B116" s="56"/>
      <x:c r="C116" s="56"/>
      <x:c r="D116" s="56"/>
      <x:c r="E116" s="56"/>
      <x:c r="F116" s="56"/>
      <x:c r="G116" s="56"/>
      <x:c r="H116" s="61"/>
    </x:row>
    <x:row r="117">
      <x:c r="A117" s="56"/>
      <x:c r="B117" s="56"/>
      <x:c r="C117" s="56"/>
      <x:c r="D117" s="56"/>
      <x:c r="E117" s="56"/>
      <x:c r="F117" s="56"/>
      <x:c r="G117" s="56"/>
      <x:c r="H117" s="61"/>
    </x:row>
    <x:row r="118">
      <x:c r="A118" s="56"/>
      <x:c r="B118" s="56"/>
      <x:c r="C118" s="56"/>
      <x:c r="D118" s="56"/>
      <x:c r="E118" s="56"/>
      <x:c r="F118" s="56"/>
      <x:c r="G118" s="56"/>
      <x:c r="H118" s="61"/>
    </x:row>
    <x:row r="119">
      <x:c r="A119" s="56"/>
      <x:c r="B119" s="56"/>
      <x:c r="C119" s="56"/>
      <x:c r="D119" s="56"/>
      <x:c r="E119" s="56"/>
      <x:c r="F119" s="56"/>
      <x:c r="G119" s="56"/>
      <x:c r="H119" s="61"/>
    </x:row>
    <x:row r="120">
      <x:c r="A120" s="56"/>
      <x:c r="B120" s="56"/>
      <x:c r="C120" s="56"/>
      <x:c r="D120" s="56"/>
      <x:c r="E120" s="56"/>
      <x:c r="F120" s="56"/>
      <x:c r="G120" s="56"/>
      <x:c r="H120" s="61"/>
    </x:row>
    <x:row r="121">
      <x:c r="A121" s="56"/>
      <x:c r="B121" s="56"/>
      <x:c r="C121" s="56"/>
      <x:c r="D121" s="56"/>
      <x:c r="E121" s="56"/>
      <x:c r="F121" s="56"/>
      <x:c r="G121" s="56"/>
      <x:c r="H121" s="61"/>
    </x:row>
    <x:row r="122">
      <x:c r="A122" s="56"/>
      <x:c r="B122" s="56"/>
      <x:c r="C122" s="56"/>
      <x:c r="D122" s="56"/>
      <x:c r="E122" s="56"/>
      <x:c r="F122" s="56"/>
      <x:c r="G122" s="56"/>
      <x:c r="H122" s="61"/>
    </x:row>
    <x:row r="123">
      <x:c r="A123" s="56"/>
      <x:c r="B123" s="56"/>
      <x:c r="C123" s="56"/>
      <x:c r="D123" s="56"/>
      <x:c r="E123" s="56"/>
      <x:c r="F123" s="56"/>
      <x:c r="G123" s="56"/>
      <x:c r="H123" s="61"/>
    </x:row>
    <x:row r="124">
      <x:c r="A124" s="56"/>
      <x:c r="B124" s="56"/>
      <x:c r="C124" s="56"/>
      <x:c r="D124" s="56"/>
      <x:c r="E124" s="56"/>
      <x:c r="F124" s="56"/>
      <x:c r="G124" s="56"/>
      <x:c r="H124" s="61"/>
    </x:row>
    <x:row r="125">
      <x:c r="A125" s="56"/>
      <x:c r="B125" s="56"/>
      <x:c r="C125" s="56"/>
      <x:c r="D125" s="56"/>
      <x:c r="E125" s="56"/>
      <x:c r="F125" s="56"/>
      <x:c r="G125" s="56"/>
      <x:c r="H125" s="61"/>
    </x:row>
    <x:row r="126">
      <x:c r="A126" s="56"/>
      <x:c r="B126" s="56"/>
      <x:c r="C126" s="56"/>
      <x:c r="D126" s="56"/>
      <x:c r="E126" s="56"/>
      <x:c r="F126" s="56"/>
      <x:c r="G126" s="56"/>
      <x:c r="H126" s="61"/>
    </x:row>
    <x:row r="127">
      <x:c r="A127" s="56"/>
      <x:c r="B127" s="56"/>
      <x:c r="C127" s="56"/>
      <x:c r="D127" s="56"/>
      <x:c r="E127" s="56"/>
      <x:c r="F127" s="56"/>
      <x:c r="G127" s="56"/>
      <x:c r="H127" s="61"/>
    </x:row>
    <x:row r="128">
      <x:c r="A128" s="56"/>
      <x:c r="B128" s="56"/>
      <x:c r="C128" s="56"/>
      <x:c r="D128" s="56"/>
      <x:c r="E128" s="56"/>
      <x:c r="F128" s="56"/>
      <x:c r="G128" s="56"/>
      <x:c r="H128" s="61"/>
    </x:row>
    <x:row r="129">
      <x:c r="A129" s="56"/>
      <x:c r="B129" s="56"/>
      <x:c r="C129" s="56"/>
      <x:c r="D129" s="56"/>
      <x:c r="E129" s="56"/>
      <x:c r="F129" s="56"/>
      <x:c r="G129" s="56"/>
      <x:c r="H129" s="61"/>
    </x:row>
    <x:row r="130">
      <x:c r="A130" s="56"/>
      <x:c r="B130" s="56"/>
      <x:c r="C130" s="56"/>
      <x:c r="D130" s="56"/>
      <x:c r="E130" s="56"/>
      <x:c r="F130" s="56"/>
      <x:c r="G130" s="56"/>
      <x:c r="H130" s="61"/>
    </x:row>
    <x:row r="131">
      <x:c r="A131" s="56"/>
      <x:c r="B131" s="56"/>
      <x:c r="C131" s="56"/>
      <x:c r="D131" s="56"/>
      <x:c r="E131" s="56"/>
      <x:c r="F131" s="56"/>
      <x:c r="G131" s="56"/>
      <x:c r="H131" s="61"/>
    </x:row>
    <x:row r="132">
      <x:c r="A132" s="56"/>
      <x:c r="B132" s="56"/>
      <x:c r="C132" s="56"/>
      <x:c r="D132" s="56"/>
      <x:c r="E132" s="56"/>
      <x:c r="F132" s="56"/>
      <x:c r="G132" s="56"/>
      <x:c r="H132" s="61"/>
    </x:row>
    <x:row r="133">
      <x:c r="A133" s="56"/>
      <x:c r="B133" s="56"/>
      <x:c r="C133" s="56"/>
      <x:c r="D133" s="56"/>
      <x:c r="E133" s="56"/>
      <x:c r="F133" s="56"/>
      <x:c r="G133" s="56"/>
      <x:c r="H133" s="61"/>
    </x:row>
    <x:row r="134">
      <x:c r="A134" s="56"/>
      <x:c r="B134" s="56"/>
      <x:c r="C134" s="56"/>
      <x:c r="D134" s="56"/>
      <x:c r="E134" s="56"/>
      <x:c r="F134" s="56"/>
      <x:c r="G134" s="56"/>
      <x:c r="H134" s="61"/>
    </x:row>
    <x:row r="135">
      <x:c r="A135" s="56"/>
      <x:c r="B135" s="56"/>
      <x:c r="C135" s="56"/>
      <x:c r="D135" s="56"/>
      <x:c r="E135" s="56"/>
      <x:c r="F135" s="56"/>
      <x:c r="G135" s="56"/>
      <x:c r="H135" s="61"/>
    </x:row>
    <x:row r="136">
      <x:c r="A136" s="56"/>
      <x:c r="B136" s="56"/>
      <x:c r="C136" s="56"/>
      <x:c r="D136" s="56"/>
      <x:c r="E136" s="56"/>
      <x:c r="F136" s="56"/>
      <x:c r="G136" s="56"/>
      <x:c r="H136" s="61"/>
    </x:row>
    <x:row r="137">
      <x:c r="A137" s="56"/>
      <x:c r="B137" s="56"/>
      <x:c r="C137" s="56"/>
      <x:c r="D137" s="56"/>
      <x:c r="E137" s="56"/>
      <x:c r="F137" s="56"/>
      <x:c r="G137" s="56"/>
      <x:c r="H137" s="61"/>
    </x:row>
    <x:row r="138">
      <x:c r="A138" s="56"/>
      <x:c r="B138" s="56"/>
      <x:c r="C138" s="56"/>
      <x:c r="D138" s="56"/>
      <x:c r="E138" s="56"/>
      <x:c r="F138" s="56"/>
      <x:c r="G138" s="56"/>
      <x:c r="H138" s="61"/>
    </x:row>
    <x:row r="139">
      <x:c r="A139" s="56"/>
      <x:c r="B139" s="56"/>
      <x:c r="C139" s="56"/>
      <x:c r="D139" s="56"/>
      <x:c r="E139" s="56"/>
      <x:c r="F139" s="56"/>
      <x:c r="G139" s="56"/>
      <x:c r="H139" s="61"/>
    </x:row>
    <x:row r="140">
      <x:c r="A140" s="56"/>
      <x:c r="B140" s="56"/>
      <x:c r="C140" s="56"/>
      <x:c r="D140" s="56"/>
      <x:c r="E140" s="56"/>
      <x:c r="F140" s="56"/>
      <x:c r="G140" s="56"/>
      <x:c r="H140" s="61"/>
    </x:row>
    <x:row r="141">
      <x:c r="A141" s="56"/>
      <x:c r="B141" s="56"/>
      <x:c r="C141" s="56"/>
      <x:c r="D141" s="56"/>
      <x:c r="E141" s="56"/>
      <x:c r="F141" s="56"/>
      <x:c r="G141" s="56"/>
      <x:c r="H141" s="61"/>
    </x:row>
    <x:row r="142">
      <x:c r="A142" s="56"/>
      <x:c r="B142" s="56"/>
      <x:c r="C142" s="56"/>
      <x:c r="D142" s="56"/>
      <x:c r="E142" s="56"/>
      <x:c r="F142" s="56"/>
      <x:c r="G142" s="56"/>
      <x:c r="H142" s="61"/>
    </x:row>
    <x:row r="143">
      <x:c r="A143" s="56"/>
      <x:c r="B143" s="56"/>
      <x:c r="C143" s="56"/>
      <x:c r="D143" s="56"/>
      <x:c r="E143" s="56"/>
      <x:c r="F143" s="56"/>
      <x:c r="G143" s="56"/>
      <x:c r="H143" s="61"/>
    </x:row>
    <x:row r="144">
      <x:c r="A144" s="56"/>
      <x:c r="B144" s="56"/>
      <x:c r="C144" s="56"/>
      <x:c r="D144" s="56"/>
      <x:c r="E144" s="56"/>
      <x:c r="F144" s="56"/>
      <x:c r="G144" s="56"/>
      <x:c r="H144" s="61"/>
    </x:row>
    <x:row r="145">
      <x:c r="A145" s="56"/>
      <x:c r="B145" s="56"/>
      <x:c r="C145" s="56"/>
      <x:c r="D145" s="56"/>
      <x:c r="E145" s="56"/>
      <x:c r="F145" s="56"/>
      <x:c r="G145" s="56"/>
      <x:c r="H145" s="61"/>
    </x:row>
    <x:row r="146">
      <x:c r="A146" s="56"/>
      <x:c r="B146" s="56"/>
      <x:c r="C146" s="56"/>
      <x:c r="D146" s="56"/>
      <x:c r="E146" s="56"/>
      <x:c r="F146" s="56"/>
      <x:c r="G146" s="56"/>
      <x:c r="H146" s="61"/>
    </x:row>
    <x:row r="147">
      <x:c r="A147" s="56"/>
      <x:c r="B147" s="56"/>
      <x:c r="C147" s="56"/>
      <x:c r="D147" s="56"/>
      <x:c r="E147" s="56"/>
      <x:c r="F147" s="56"/>
      <x:c r="G147" s="56"/>
      <x:c r="H147" s="61"/>
    </x:row>
    <x:row r="148">
      <x:c r="A148" s="56"/>
      <x:c r="B148" s="56"/>
      <x:c r="C148" s="56"/>
      <x:c r="D148" s="56"/>
      <x:c r="E148" s="56"/>
      <x:c r="F148" s="56"/>
      <x:c r="G148" s="56"/>
      <x:c r="H148" s="61"/>
    </x:row>
    <x:row r="149">
      <x:c r="A149" s="56"/>
      <x:c r="B149" s="56"/>
      <x:c r="C149" s="56"/>
      <x:c r="D149" s="56"/>
      <x:c r="E149" s="56"/>
      <x:c r="F149" s="56"/>
      <x:c r="G149" s="56"/>
      <x:c r="H149" s="61"/>
    </x:row>
    <x:row r="150">
      <x:c r="A150" s="56"/>
      <x:c r="B150" s="56"/>
      <x:c r="C150" s="56"/>
      <x:c r="D150" s="56"/>
      <x:c r="E150" s="56"/>
      <x:c r="F150" s="56"/>
      <x:c r="G150" s="56"/>
      <x:c r="H150" s="61"/>
    </x:row>
    <x:row r="151">
      <x:c r="A151" s="56"/>
      <x:c r="B151" s="56"/>
      <x:c r="C151" s="56"/>
      <x:c r="D151" s="56"/>
      <x:c r="E151" s="56"/>
      <x:c r="F151" s="56"/>
      <x:c r="G151" s="56"/>
      <x:c r="H151" s="61"/>
    </x:row>
    <x:row r="152">
      <x:c r="A152" s="56"/>
      <x:c r="B152" s="56"/>
      <x:c r="C152" s="56"/>
      <x:c r="D152" s="56"/>
      <x:c r="E152" s="56"/>
      <x:c r="F152" s="56"/>
      <x:c r="G152" s="56"/>
      <x:c r="H152" s="61"/>
    </x:row>
    <x:row r="153">
      <x:c r="A153" s="56"/>
      <x:c r="B153" s="56"/>
      <x:c r="C153" s="56"/>
      <x:c r="D153" s="56"/>
      <x:c r="E153" s="56"/>
      <x:c r="F153" s="56"/>
      <x:c r="G153" s="56"/>
      <x:c r="H153" s="61"/>
    </x:row>
    <x:row r="154">
      <x:c r="A154" s="56"/>
      <x:c r="B154" s="56"/>
      <x:c r="C154" s="56"/>
      <x:c r="D154" s="56"/>
      <x:c r="E154" s="56"/>
      <x:c r="F154" s="56"/>
      <x:c r="G154" s="56"/>
      <x:c r="H154" s="61"/>
    </x:row>
    <x:row r="155">
      <x:c r="A155" s="56"/>
      <x:c r="B155" s="56"/>
      <x:c r="C155" s="56"/>
      <x:c r="D155" s="56"/>
      <x:c r="E155" s="56"/>
      <x:c r="F155" s="56"/>
      <x:c r="G155" s="56"/>
      <x:c r="H155" s="61"/>
    </x:row>
    <x:row r="156">
      <x:c r="A156" s="56"/>
      <x:c r="B156" s="56"/>
      <x:c r="C156" s="56"/>
      <x:c r="D156" s="56"/>
      <x:c r="E156" s="56"/>
      <x:c r="F156" s="56"/>
      <x:c r="G156" s="56"/>
      <x:c r="H156" s="61"/>
    </x:row>
    <x:row r="157">
      <x:c r="A157" s="56"/>
      <x:c r="B157" s="56"/>
      <x:c r="C157" s="56"/>
      <x:c r="D157" s="56"/>
      <x:c r="E157" s="56"/>
      <x:c r="F157" s="56"/>
      <x:c r="G157" s="56"/>
      <x:c r="H157" s="61"/>
    </x:row>
    <x:row r="158">
      <x:c r="A158" s="56"/>
      <x:c r="B158" s="56"/>
      <x:c r="C158" s="56"/>
      <x:c r="D158" s="56"/>
      <x:c r="E158" s="56"/>
      <x:c r="F158" s="56"/>
      <x:c r="G158" s="56"/>
      <x:c r="H158" s="61"/>
    </x:row>
    <x:row r="159">
      <x:c r="A159" s="56"/>
      <x:c r="B159" s="56"/>
      <x:c r="C159" s="56"/>
      <x:c r="D159" s="56"/>
      <x:c r="E159" s="56"/>
      <x:c r="F159" s="56"/>
      <x:c r="G159" s="56"/>
      <x:c r="H159" s="61"/>
    </x:row>
    <x:row r="160">
      <x:c r="A160" s="56"/>
      <x:c r="B160" s="56"/>
      <x:c r="C160" s="56"/>
      <x:c r="D160" s="56"/>
      <x:c r="E160" s="56"/>
      <x:c r="F160" s="56"/>
      <x:c r="G160" s="56"/>
      <x:c r="H160" s="61"/>
    </x:row>
    <x:row r="161">
      <x:c r="A161" s="56"/>
      <x:c r="B161" s="56"/>
      <x:c r="C161" s="56"/>
      <x:c r="D161" s="56"/>
      <x:c r="E161" s="56"/>
      <x:c r="F161" s="56"/>
      <x:c r="G161" s="56"/>
      <x:c r="H161" s="61"/>
    </x:row>
    <x:row r="162">
      <x:c r="A162" s="56"/>
      <x:c r="B162" s="56"/>
      <x:c r="C162" s="56"/>
      <x:c r="D162" s="56"/>
      <x:c r="E162" s="56"/>
      <x:c r="F162" s="56"/>
      <x:c r="G162" s="56"/>
      <x:c r="H162" s="61"/>
    </x:row>
    <x:row r="163">
      <x:c r="A163" s="56"/>
      <x:c r="B163" s="56"/>
      <x:c r="C163" s="56"/>
      <x:c r="D163" s="56"/>
      <x:c r="E163" s="56"/>
      <x:c r="F163" s="56"/>
      <x:c r="G163" s="56"/>
      <x:c r="H163" s="61"/>
    </x:row>
    <x:row r="164">
      <x:c r="A164" s="56"/>
      <x:c r="B164" s="56"/>
      <x:c r="C164" s="56"/>
      <x:c r="D164" s="56"/>
      <x:c r="E164" s="56"/>
      <x:c r="F164" s="56"/>
      <x:c r="G164" s="56"/>
      <x:c r="H164" s="61"/>
    </x:row>
    <x:row r="165">
      <x:c r="A165" s="56"/>
      <x:c r="B165" s="56"/>
      <x:c r="C165" s="56"/>
      <x:c r="D165" s="56"/>
      <x:c r="E165" s="56"/>
      <x:c r="F165" s="56"/>
      <x:c r="G165" s="56"/>
      <x:c r="H165" s="61"/>
    </x:row>
    <x:row r="166">
      <x:c r="A166" s="56"/>
      <x:c r="B166" s="56"/>
      <x:c r="C166" s="56"/>
      <x:c r="D166" s="56"/>
      <x:c r="E166" s="56"/>
      <x:c r="F166" s="56"/>
      <x:c r="G166" s="56"/>
      <x:c r="H166" s="61"/>
    </x:row>
    <x:row r="167">
      <x:c r="A167" s="56"/>
      <x:c r="B167" s="56"/>
      <x:c r="C167" s="56"/>
      <x:c r="D167" s="56"/>
      <x:c r="E167" s="56"/>
      <x:c r="F167" s="56"/>
      <x:c r="G167" s="56"/>
      <x:c r="H167" s="61"/>
    </x:row>
    <x:row r="168">
      <x:c r="A168" s="56"/>
      <x:c r="B168" s="56"/>
      <x:c r="C168" s="56"/>
      <x:c r="D168" s="56"/>
      <x:c r="E168" s="56"/>
      <x:c r="F168" s="56"/>
      <x:c r="G168" s="56"/>
      <x:c r="H168" s="61"/>
    </x:row>
    <x:row r="169">
      <x:c r="A169" s="56"/>
      <x:c r="B169" s="56"/>
      <x:c r="C169" s="56"/>
      <x:c r="D169" s="56"/>
      <x:c r="E169" s="56"/>
      <x:c r="F169" s="56"/>
      <x:c r="G169" s="56"/>
      <x:c r="H169" s="61"/>
    </x:row>
    <x:row r="170">
      <x:c r="A170" s="56"/>
      <x:c r="B170" s="56"/>
      <x:c r="C170" s="56"/>
      <x:c r="D170" s="56"/>
      <x:c r="E170" s="56"/>
      <x:c r="F170" s="56"/>
      <x:c r="G170" s="56"/>
      <x:c r="H170" s="61"/>
    </x:row>
    <x:row r="171">
      <x:c r="A171" s="56"/>
      <x:c r="B171" s="56"/>
      <x:c r="C171" s="56"/>
      <x:c r="D171" s="56"/>
      <x:c r="E171" s="56"/>
      <x:c r="F171" s="56"/>
      <x:c r="G171" s="56"/>
      <x:c r="H171" s="61"/>
    </x:row>
    <x:row r="172">
      <x:c r="A172" s="56"/>
      <x:c r="B172" s="56"/>
      <x:c r="C172" s="56"/>
      <x:c r="D172" s="56"/>
      <x:c r="E172" s="56"/>
      <x:c r="F172" s="56"/>
      <x:c r="G172" s="56"/>
      <x:c r="H172" s="61"/>
    </x:row>
    <x:row r="173">
      <x:c r="A173" s="56"/>
      <x:c r="B173" s="56"/>
      <x:c r="C173" s="56"/>
      <x:c r="D173" s="56"/>
      <x:c r="E173" s="56"/>
      <x:c r="F173" s="56"/>
      <x:c r="G173" s="56"/>
      <x:c r="H173" s="61"/>
    </x:row>
    <x:row r="174">
      <x:c r="A174" s="56"/>
      <x:c r="B174" s="56"/>
      <x:c r="C174" s="56"/>
      <x:c r="D174" s="56"/>
      <x:c r="E174" s="56"/>
      <x:c r="F174" s="56"/>
      <x:c r="G174" s="56"/>
      <x:c r="H174" s="61"/>
    </x:row>
    <x:row r="175">
      <x:c r="A175" s="56"/>
      <x:c r="B175" s="56"/>
      <x:c r="C175" s="56"/>
      <x:c r="D175" s="56"/>
      <x:c r="E175" s="56"/>
      <x:c r="F175" s="56"/>
      <x:c r="G175" s="56"/>
      <x:c r="H175" s="61"/>
    </x:row>
    <x:row r="176">
      <x:c r="A176" s="56"/>
      <x:c r="B176" s="56"/>
      <x:c r="C176" s="56"/>
      <x:c r="D176" s="56"/>
      <x:c r="E176" s="56"/>
      <x:c r="F176" s="56"/>
      <x:c r="G176" s="56"/>
      <x:c r="H176" s="61"/>
    </x:row>
    <x:row r="177">
      <x:c r="A177" s="56"/>
      <x:c r="B177" s="56"/>
      <x:c r="C177" s="56"/>
      <x:c r="D177" s="56"/>
      <x:c r="E177" s="56"/>
      <x:c r="F177" s="56"/>
      <x:c r="G177" s="56"/>
      <x:c r="H177" s="61"/>
    </x:row>
    <x:row r="178">
      <x:c r="A178" s="56"/>
      <x:c r="B178" s="56"/>
      <x:c r="C178" s="56"/>
      <x:c r="D178" s="56"/>
      <x:c r="E178" s="56"/>
      <x:c r="F178" s="56"/>
      <x:c r="G178" s="56"/>
      <x:c r="H178" s="61"/>
    </x:row>
    <x:row r="179">
      <x:c r="A179" s="56"/>
      <x:c r="B179" s="56"/>
      <x:c r="C179" s="56"/>
      <x:c r="D179" s="56"/>
      <x:c r="E179" s="56"/>
      <x:c r="F179" s="56"/>
      <x:c r="G179" s="56"/>
      <x:c r="H179" s="61"/>
    </x:row>
    <x:row r="180">
      <x:c r="A180" s="56"/>
      <x:c r="B180" s="56"/>
      <x:c r="C180" s="56"/>
      <x:c r="D180" s="56"/>
      <x:c r="E180" s="56"/>
      <x:c r="F180" s="56"/>
      <x:c r="G180" s="56"/>
      <x:c r="H180" s="61"/>
    </x:row>
    <x:row r="181">
      <x:c r="A181" s="56"/>
      <x:c r="B181" s="56"/>
      <x:c r="C181" s="56"/>
      <x:c r="D181" s="56"/>
      <x:c r="E181" s="56"/>
      <x:c r="F181" s="56"/>
      <x:c r="G181" s="56"/>
      <x:c r="H181" s="61"/>
    </x:row>
    <x:row r="182">
      <x:c r="A182" s="56"/>
      <x:c r="B182" s="56"/>
      <x:c r="C182" s="56"/>
      <x:c r="D182" s="56"/>
      <x:c r="E182" s="56"/>
      <x:c r="F182" s="56"/>
      <x:c r="G182" s="56"/>
      <x:c r="H182" s="61"/>
    </x:row>
    <x:row r="183">
      <x:c r="A183" s="56"/>
      <x:c r="B183" s="56"/>
      <x:c r="C183" s="56"/>
      <x:c r="D183" s="56"/>
      <x:c r="E183" s="56"/>
      <x:c r="F183" s="56"/>
      <x:c r="G183" s="56"/>
      <x:c r="H183" s="61"/>
    </x:row>
    <x:row r="184">
      <x:c r="A184" s="56"/>
      <x:c r="B184" s="56"/>
      <x:c r="C184" s="56"/>
      <x:c r="D184" s="56"/>
      <x:c r="E184" s="56"/>
      <x:c r="F184" s="56"/>
      <x:c r="G184" s="56"/>
      <x:c r="H184" s="61"/>
    </x:row>
    <x:row r="185">
      <x:c r="A185" s="56"/>
      <x:c r="B185" s="56"/>
      <x:c r="C185" s="56"/>
      <x:c r="D185" s="56"/>
      <x:c r="E185" s="56"/>
      <x:c r="F185" s="56"/>
      <x:c r="G185" s="56"/>
      <x:c r="H185" s="61"/>
    </x:row>
    <x:row r="186">
      <x:c r="A186" s="56"/>
      <x:c r="B186" s="56"/>
      <x:c r="C186" s="56"/>
      <x:c r="D186" s="56"/>
      <x:c r="E186" s="56"/>
      <x:c r="F186" s="56"/>
      <x:c r="G186" s="56"/>
      <x:c r="H186" s="61"/>
    </x:row>
    <x:row r="187">
      <x:c r="A187" s="56"/>
      <x:c r="B187" s="56"/>
      <x:c r="C187" s="56"/>
      <x:c r="D187" s="56"/>
      <x:c r="E187" s="56"/>
      <x:c r="F187" s="56"/>
      <x:c r="G187" s="56"/>
      <x:c r="H187" s="61"/>
    </x:row>
    <x:row r="188">
      <x:c r="A188" s="56"/>
      <x:c r="B188" s="56"/>
      <x:c r="C188" s="56"/>
      <x:c r="D188" s="56"/>
      <x:c r="E188" s="56"/>
      <x:c r="F188" s="56"/>
      <x:c r="G188" s="56"/>
      <x:c r="H188" s="61"/>
    </x:row>
    <x:row r="189">
      <x:c r="A189" s="56"/>
      <x:c r="B189" s="56"/>
      <x:c r="C189" s="56"/>
      <x:c r="D189" s="56"/>
      <x:c r="E189" s="56"/>
      <x:c r="F189" s="56"/>
      <x:c r="G189" s="56"/>
      <x:c r="H189" s="61"/>
    </x:row>
    <x:row r="190">
      <x:c r="A190" s="56"/>
      <x:c r="B190" s="56"/>
      <x:c r="C190" s="56"/>
      <x:c r="D190" s="56"/>
      <x:c r="E190" s="56"/>
      <x:c r="F190" s="56"/>
      <x:c r="G190" s="56"/>
      <x:c r="H190" s="61"/>
    </x:row>
    <x:row r="191">
      <x:c r="A191" s="56"/>
      <x:c r="B191" s="56"/>
      <x:c r="C191" s="56"/>
      <x:c r="D191" s="56"/>
      <x:c r="E191" s="56"/>
      <x:c r="F191" s="56"/>
      <x:c r="G191" s="56"/>
      <x:c r="H191" s="61"/>
    </x:row>
    <x:row r="192">
      <x:c r="A192" s="56"/>
      <x:c r="B192" s="56"/>
      <x:c r="C192" s="56"/>
      <x:c r="D192" s="56"/>
      <x:c r="E192" s="56"/>
      <x:c r="F192" s="56"/>
      <x:c r="G192" s="56"/>
      <x:c r="H192" s="61"/>
    </x:row>
    <x:row r="193">
      <x:c r="A193" s="56"/>
      <x:c r="B193" s="56"/>
      <x:c r="C193" s="56"/>
      <x:c r="D193" s="56"/>
      <x:c r="E193" s="56"/>
      <x:c r="F193" s="56"/>
      <x:c r="G193" s="56"/>
      <x:c r="H193" s="61"/>
    </x:row>
    <x:row r="194">
      <x:c r="A194" s="56"/>
      <x:c r="B194" s="56"/>
      <x:c r="C194" s="56"/>
      <x:c r="D194" s="56"/>
      <x:c r="E194" s="56"/>
      <x:c r="F194" s="56"/>
      <x:c r="G194" s="56"/>
      <x:c r="H194" s="61"/>
    </x:row>
    <x:row r="195">
      <x:c r="A195" s="56"/>
      <x:c r="B195" s="56"/>
      <x:c r="C195" s="56"/>
      <x:c r="D195" s="56"/>
      <x:c r="E195" s="56"/>
      <x:c r="F195" s="56"/>
      <x:c r="G195" s="56"/>
      <x:c r="H195" s="61"/>
    </x:row>
    <x:row r="196">
      <x:c r="A196" s="56"/>
      <x:c r="B196" s="56"/>
      <x:c r="C196" s="56"/>
      <x:c r="D196" s="56"/>
      <x:c r="E196" s="56"/>
      <x:c r="F196" s="56"/>
      <x:c r="G196" s="56"/>
      <x:c r="H196" s="61"/>
    </x:row>
    <x:row r="197">
      <x:c r="A197" s="56"/>
      <x:c r="B197" s="56"/>
      <x:c r="C197" s="56"/>
      <x:c r="D197" s="56"/>
      <x:c r="E197" s="56"/>
      <x:c r="F197" s="56"/>
      <x:c r="G197" s="56"/>
      <x:c r="H197" s="61"/>
    </x:row>
    <x:row r="198">
      <x:c r="A198" s="56"/>
      <x:c r="B198" s="56"/>
      <x:c r="C198" s="56"/>
      <x:c r="D198" s="56"/>
      <x:c r="E198" s="56"/>
      <x:c r="F198" s="56"/>
      <x:c r="G198" s="56"/>
      <x:c r="H198" s="61"/>
    </x:row>
    <x:row r="199">
      <x:c r="A199" s="56"/>
      <x:c r="B199" s="56"/>
      <x:c r="C199" s="56"/>
      <x:c r="D199" s="56"/>
      <x:c r="E199" s="56"/>
      <x:c r="F199" s="56"/>
      <x:c r="G199" s="56"/>
      <x:c r="H199" s="61"/>
    </x:row>
    <x:row r="200">
      <x:c r="A200" s="56"/>
      <x:c r="B200" s="56"/>
      <x:c r="C200" s="56"/>
      <x:c r="D200" s="56"/>
      <x:c r="E200" s="56"/>
      <x:c r="F200" s="56"/>
      <x:c r="G200" s="56"/>
      <x:c r="H200" s="61"/>
    </x:row>
    <x:row r="201">
      <x:c r="A201" s="56"/>
      <x:c r="B201" s="56"/>
      <x:c r="C201" s="56"/>
      <x:c r="D201" s="56"/>
      <x:c r="E201" s="56"/>
      <x:c r="F201" s="56"/>
      <x:c r="G201" s="56"/>
      <x:c r="H201" s="61"/>
    </x:row>
    <x:row r="202">
      <x:c r="A202" s="56"/>
      <x:c r="B202" s="56"/>
      <x:c r="C202" s="56"/>
      <x:c r="D202" s="56"/>
      <x:c r="E202" s="56"/>
      <x:c r="F202" s="56"/>
      <x:c r="G202" s="56"/>
      <x:c r="H202" s="61"/>
    </x:row>
    <x:row r="203">
      <x:c r="A203" s="56"/>
      <x:c r="B203" s="56"/>
      <x:c r="C203" s="56"/>
      <x:c r="D203" s="56"/>
      <x:c r="E203" s="56"/>
      <x:c r="F203" s="56"/>
      <x:c r="G203" s="56"/>
      <x:c r="H203" s="61"/>
    </x:row>
    <x:row r="204">
      <x:c r="A204" s="56"/>
      <x:c r="B204" s="56"/>
      <x:c r="C204" s="56"/>
      <x:c r="D204" s="56"/>
      <x:c r="E204" s="56"/>
      <x:c r="F204" s="56"/>
      <x:c r="G204" s="56"/>
      <x:c r="H204" s="61"/>
    </x:row>
    <x:row r="205">
      <x:c r="A205" s="56"/>
      <x:c r="B205" s="56"/>
      <x:c r="C205" s="56"/>
      <x:c r="D205" s="56"/>
      <x:c r="E205" s="56"/>
      <x:c r="F205" s="56"/>
      <x:c r="G205" s="56"/>
      <x:c r="H205" s="61"/>
    </x:row>
    <x:row r="206">
      <x:c r="A206" s="56"/>
      <x:c r="B206" s="56"/>
      <x:c r="C206" s="56"/>
      <x:c r="D206" s="56"/>
      <x:c r="E206" s="56"/>
      <x:c r="F206" s="56"/>
      <x:c r="G206" s="56"/>
      <x:c r="H206" s="61"/>
    </x:row>
    <x:row r="207">
      <x:c r="A207" s="56"/>
      <x:c r="B207" s="56"/>
      <x:c r="C207" s="56"/>
      <x:c r="D207" s="56"/>
      <x:c r="E207" s="56"/>
      <x:c r="F207" s="56"/>
      <x:c r="G207" s="56"/>
      <x:c r="H207" s="61"/>
    </x:row>
    <x:row r="208">
      <x:c r="A208" s="56"/>
      <x:c r="B208" s="56"/>
      <x:c r="C208" s="56"/>
      <x:c r="D208" s="56"/>
      <x:c r="E208" s="56"/>
      <x:c r="F208" s="56"/>
      <x:c r="G208" s="56"/>
      <x:c r="H208" s="61"/>
    </x:row>
    <x:row r="209">
      <x:c r="A209" s="56"/>
      <x:c r="B209" s="56"/>
      <x:c r="C209" s="56"/>
      <x:c r="D209" s="56"/>
      <x:c r="E209" s="56"/>
      <x:c r="F209" s="56"/>
      <x:c r="G209" s="56"/>
      <x:c r="H209" s="61"/>
    </x:row>
  </x:sheetData>
  <x:conditionalFormatting sqref="G10:G209">
    <x:cfRule type="containsText" dxfId="0" priority="1" operator="containsText" text="완료"/>
  </x:conditionalFormatting>
  <x:dataValidations count="2">
    <x:dataValidation type="list" allowBlank="1" showDropDown="0" sqref="B10:B209">
      <x:formula1>'03_체크리스트분류'!$B$5:$B$104</x:formula1>
    </x:dataValidation>
    <x:dataValidation type="list" allowBlank="1" showDropDown="0" sqref="G10:G209">
      <x:formula1>"미완료,완료"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020000457763672" hidden="0" customWidth="1"/>
    <x:col min="2" max="2" width="21.469999313354492" hidden="0" customWidth="1"/>
    <x:col min="3" max="3" width="14.109999656677246" hidden="0" customWidth="1"/>
  </x:cols>
  <x:sheetData>
    <x:row r="1">
      <x:c r="A1" s="49" t="str">
        <x:v>인원관리 분류</x:v>
      </x:c>
      <x:c r="B1" s="50"/>
      <x:c r="C1" s="50"/>
    </x:row>
    <x:row r="2">
      <x:c r="A2" s="49" t="str">
        <x:v>대분류/소분류와 적용 퍼센티지를 관리합니다.</x:v>
      </x:c>
      <x:c r="B2" s="50"/>
      <x:c r="C2" s="50"/>
    </x:row>
    <x:row r="3">
      <x:c r="A3" s="50"/>
      <x:c r="B3" s="50"/>
      <x:c r="C3" s="50"/>
    </x:row>
    <x:row r="4">
      <x:c r="A4" s="55" t="str">
        <x:v>대분류</x:v>
      </x:c>
      <x:c r="B4" s="55" t="str">
        <x:v>소분류</x:v>
      </x:c>
      <x:c r="C4" s="55" t="str">
        <x:v>퍼센티지</x:v>
      </x:c>
    </x:row>
    <x:row r="5">
      <x:c r="A5" s="56" t="str">
        <x:v>가족</x:v>
      </x:c>
      <x:c r="B5" s="56" t="str">
        <x:v>직계</x:v>
      </x:c>
      <x:c r="C5" s="62" t="n">
        <x:v>1</x:v>
      </x:c>
    </x:row>
    <x:row r="6">
      <x:c r="A6" s="56" t="str">
        <x:v>친구</x:v>
      </x:c>
      <x:c r="B6" s="56" t="str">
        <x:v>대학</x:v>
      </x:c>
      <x:c r="C6" s="62" t="n">
        <x:v>0.8</x:v>
      </x:c>
    </x:row>
    <x:row r="7">
      <x:c r="A7" s="56" t="str">
        <x:v>회사</x:v>
      </x:c>
      <x:c r="B7" s="56" t="str">
        <x:v>동료</x:v>
      </x:c>
      <x:c r="C7" s="62" t="n">
        <x:v>0.7</x:v>
      </x:c>
    </x:row>
    <x:row r="8">
      <x:c r="A8" s="56" t="str">
        <x:v>지인</x:v>
      </x:c>
      <x:c r="B8" s="56" t="str">
        <x:v>기타</x:v>
      </x:c>
      <x:c r="C8" s="62" t="n">
        <x:v>0.5</x:v>
      </x:c>
    </x:row>
    <x:row r="9">
      <x:c r="A9" s="56"/>
      <x:c r="B9" s="56"/>
      <x:c r="C9" s="62"/>
    </x:row>
    <x:row r="10">
      <x:c r="A10" s="56"/>
      <x:c r="B10" s="56"/>
      <x:c r="C10" s="62"/>
    </x:row>
    <x:row r="11">
      <x:c r="A11" s="56"/>
      <x:c r="B11" s="56"/>
      <x:c r="C11" s="62"/>
    </x:row>
    <x:row r="12">
      <x:c r="A12" s="56"/>
      <x:c r="B12" s="56"/>
      <x:c r="C12" s="62"/>
    </x:row>
    <x:row r="13">
      <x:c r="A13" s="56"/>
      <x:c r="B13" s="56"/>
      <x:c r="C13" s="62"/>
    </x:row>
    <x:row r="14">
      <x:c r="A14" s="56"/>
      <x:c r="B14" s="56"/>
      <x:c r="C14" s="62"/>
    </x:row>
    <x:row r="15">
      <x:c r="A15" s="56"/>
      <x:c r="B15" s="56"/>
      <x:c r="C15" s="62"/>
    </x:row>
    <x:row r="16">
      <x:c r="A16" s="56"/>
      <x:c r="B16" s="56"/>
      <x:c r="C16" s="62"/>
    </x:row>
    <x:row r="17">
      <x:c r="A17" s="56"/>
      <x:c r="B17" s="56"/>
      <x:c r="C17" s="62"/>
    </x:row>
    <x:row r="18">
      <x:c r="A18" s="56"/>
      <x:c r="B18" s="56"/>
      <x:c r="C18" s="62"/>
    </x:row>
    <x:row r="19">
      <x:c r="A19" s="56"/>
      <x:c r="B19" s="56"/>
      <x:c r="C19" s="62"/>
    </x:row>
    <x:row r="20">
      <x:c r="A20" s="56"/>
      <x:c r="B20" s="56"/>
      <x:c r="C20" s="62"/>
    </x:row>
    <x:row r="21">
      <x:c r="A21" s="56"/>
      <x:c r="B21" s="56"/>
      <x:c r="C21" s="62"/>
    </x:row>
    <x:row r="22">
      <x:c r="A22" s="56"/>
      <x:c r="B22" s="56"/>
      <x:c r="C22" s="62"/>
    </x:row>
    <x:row r="23">
      <x:c r="A23" s="56"/>
      <x:c r="B23" s="56"/>
      <x:c r="C23" s="62"/>
    </x:row>
    <x:row r="24">
      <x:c r="A24" s="56"/>
      <x:c r="B24" s="56"/>
      <x:c r="C24" s="62"/>
    </x:row>
    <x:row r="25">
      <x:c r="A25" s="56"/>
      <x:c r="B25" s="56"/>
      <x:c r="C25" s="62"/>
    </x:row>
    <x:row r="26">
      <x:c r="A26" s="56"/>
      <x:c r="B26" s="56"/>
      <x:c r="C26" s="62"/>
    </x:row>
    <x:row r="27">
      <x:c r="A27" s="56"/>
      <x:c r="B27" s="56"/>
      <x:c r="C27" s="62"/>
    </x:row>
    <x:row r="28">
      <x:c r="A28" s="56"/>
      <x:c r="B28" s="56"/>
      <x:c r="C28" s="62"/>
    </x:row>
    <x:row r="29">
      <x:c r="A29" s="56"/>
      <x:c r="B29" s="56"/>
      <x:c r="C29" s="62"/>
    </x:row>
    <x:row r="30">
      <x:c r="A30" s="56"/>
      <x:c r="B30" s="56"/>
      <x:c r="C30" s="62"/>
    </x:row>
    <x:row r="31">
      <x:c r="A31" s="56"/>
      <x:c r="B31" s="56"/>
      <x:c r="C31" s="62"/>
    </x:row>
    <x:row r="32">
      <x:c r="A32" s="56"/>
      <x:c r="B32" s="56"/>
      <x:c r="C32" s="62"/>
    </x:row>
    <x:row r="33">
      <x:c r="A33" s="56"/>
      <x:c r="B33" s="56"/>
      <x:c r="C33" s="62"/>
    </x:row>
    <x:row r="34">
      <x:c r="A34" s="56"/>
      <x:c r="B34" s="56"/>
      <x:c r="C34" s="62"/>
    </x:row>
    <x:row r="35">
      <x:c r="A35" s="56"/>
      <x:c r="B35" s="56"/>
      <x:c r="C35" s="62"/>
    </x:row>
    <x:row r="36">
      <x:c r="A36" s="56"/>
      <x:c r="B36" s="56"/>
      <x:c r="C36" s="62"/>
    </x:row>
    <x:row r="37">
      <x:c r="A37" s="56"/>
      <x:c r="B37" s="56"/>
      <x:c r="C37" s="62"/>
    </x:row>
    <x:row r="38">
      <x:c r="A38" s="56"/>
      <x:c r="B38" s="56"/>
      <x:c r="C38" s="62"/>
    </x:row>
    <x:row r="39">
      <x:c r="A39" s="56"/>
      <x:c r="B39" s="56"/>
      <x:c r="C39" s="62"/>
    </x:row>
    <x:row r="40">
      <x:c r="A40" s="56"/>
      <x:c r="B40" s="56"/>
      <x:c r="C40" s="62"/>
    </x:row>
    <x:row r="41">
      <x:c r="A41" s="56"/>
      <x:c r="B41" s="56"/>
      <x:c r="C41" s="62"/>
    </x:row>
    <x:row r="42">
      <x:c r="A42" s="56"/>
      <x:c r="B42" s="56"/>
      <x:c r="C42" s="62"/>
    </x:row>
    <x:row r="43">
      <x:c r="A43" s="56"/>
      <x:c r="B43" s="56"/>
      <x:c r="C43" s="62"/>
    </x:row>
    <x:row r="44">
      <x:c r="A44" s="56"/>
      <x:c r="B44" s="56"/>
      <x:c r="C44" s="62"/>
    </x:row>
    <x:row r="45">
      <x:c r="A45" s="56"/>
      <x:c r="B45" s="56"/>
      <x:c r="C45" s="62"/>
    </x:row>
    <x:row r="46">
      <x:c r="A46" s="56"/>
      <x:c r="B46" s="56"/>
      <x:c r="C46" s="62"/>
    </x:row>
    <x:row r="47">
      <x:c r="A47" s="56"/>
      <x:c r="B47" s="56"/>
      <x:c r="C47" s="62"/>
    </x:row>
    <x:row r="48">
      <x:c r="A48" s="56"/>
      <x:c r="B48" s="56"/>
      <x:c r="C48" s="62"/>
    </x:row>
    <x:row r="49">
      <x:c r="A49" s="56"/>
      <x:c r="B49" s="56"/>
      <x:c r="C49" s="62"/>
    </x:row>
    <x:row r="50">
      <x:c r="A50" s="56"/>
      <x:c r="B50" s="56"/>
      <x:c r="C50" s="62"/>
    </x:row>
    <x:row r="51">
      <x:c r="A51" s="56"/>
      <x:c r="B51" s="56"/>
      <x:c r="C51" s="62"/>
    </x:row>
    <x:row r="52">
      <x:c r="A52" s="56"/>
      <x:c r="B52" s="56"/>
      <x:c r="C52" s="62"/>
    </x:row>
    <x:row r="53">
      <x:c r="A53" s="56"/>
      <x:c r="B53" s="56"/>
      <x:c r="C53" s="62"/>
    </x:row>
    <x:row r="54">
      <x:c r="A54" s="56"/>
      <x:c r="B54" s="56"/>
      <x:c r="C54" s="62"/>
    </x:row>
    <x:row r="55">
      <x:c r="A55" s="56"/>
      <x:c r="B55" s="56"/>
      <x:c r="C55" s="62"/>
    </x:row>
    <x:row r="56">
      <x:c r="A56" s="56"/>
      <x:c r="B56" s="56"/>
      <x:c r="C56" s="62"/>
    </x:row>
    <x:row r="57">
      <x:c r="A57" s="56"/>
      <x:c r="B57" s="56"/>
      <x:c r="C57" s="62"/>
    </x:row>
    <x:row r="58">
      <x:c r="A58" s="56"/>
      <x:c r="B58" s="56"/>
      <x:c r="C58" s="62"/>
    </x:row>
    <x:row r="59">
      <x:c r="A59" s="56"/>
      <x:c r="B59" s="56"/>
      <x:c r="C59" s="62"/>
    </x:row>
    <x:row r="60">
      <x:c r="A60" s="56"/>
      <x:c r="B60" s="56"/>
      <x:c r="C60" s="62"/>
    </x:row>
    <x:row r="61">
      <x:c r="A61" s="56"/>
      <x:c r="B61" s="56"/>
      <x:c r="C61" s="62"/>
    </x:row>
    <x:row r="62">
      <x:c r="A62" s="56"/>
      <x:c r="B62" s="56"/>
      <x:c r="C62" s="62"/>
    </x:row>
    <x:row r="63">
      <x:c r="A63" s="56"/>
      <x:c r="B63" s="56"/>
      <x:c r="C63" s="62"/>
    </x:row>
    <x:row r="64">
      <x:c r="A64" s="56"/>
      <x:c r="B64" s="56"/>
      <x:c r="C64" s="62"/>
    </x:row>
    <x:row r="65">
      <x:c r="A65" s="56"/>
      <x:c r="B65" s="56"/>
      <x:c r="C65" s="62"/>
    </x:row>
    <x:row r="66">
      <x:c r="A66" s="56"/>
      <x:c r="B66" s="56"/>
      <x:c r="C66" s="62"/>
    </x:row>
    <x:row r="67">
      <x:c r="A67" s="56"/>
      <x:c r="B67" s="56"/>
      <x:c r="C67" s="62"/>
    </x:row>
    <x:row r="68">
      <x:c r="A68" s="56"/>
      <x:c r="B68" s="56"/>
      <x:c r="C68" s="62"/>
    </x:row>
    <x:row r="69">
      <x:c r="A69" s="56"/>
      <x:c r="B69" s="56"/>
      <x:c r="C69" s="62"/>
    </x:row>
    <x:row r="70">
      <x:c r="A70" s="56"/>
      <x:c r="B70" s="56"/>
      <x:c r="C70" s="62"/>
    </x:row>
    <x:row r="71">
      <x:c r="A71" s="56"/>
      <x:c r="B71" s="56"/>
      <x:c r="C71" s="62"/>
    </x:row>
    <x:row r="72">
      <x:c r="A72" s="56"/>
      <x:c r="B72" s="56"/>
      <x:c r="C72" s="62"/>
    </x:row>
    <x:row r="73">
      <x:c r="A73" s="56"/>
      <x:c r="B73" s="56"/>
      <x:c r="C73" s="62"/>
    </x:row>
    <x:row r="74">
      <x:c r="A74" s="56"/>
      <x:c r="B74" s="56"/>
      <x:c r="C74" s="62"/>
    </x:row>
    <x:row r="75">
      <x:c r="A75" s="56"/>
      <x:c r="B75" s="56"/>
      <x:c r="C75" s="62"/>
    </x:row>
    <x:row r="76">
      <x:c r="A76" s="56"/>
      <x:c r="B76" s="56"/>
      <x:c r="C76" s="62"/>
    </x:row>
    <x:row r="77">
      <x:c r="A77" s="56"/>
      <x:c r="B77" s="56"/>
      <x:c r="C77" s="62"/>
    </x:row>
    <x:row r="78">
      <x:c r="A78" s="56"/>
      <x:c r="B78" s="56"/>
      <x:c r="C78" s="62"/>
    </x:row>
    <x:row r="79">
      <x:c r="A79" s="56"/>
      <x:c r="B79" s="56"/>
      <x:c r="C79" s="62"/>
    </x:row>
    <x:row r="80">
      <x:c r="A80" s="56"/>
      <x:c r="B80" s="56"/>
      <x:c r="C80" s="62"/>
    </x:row>
    <x:row r="81">
      <x:c r="A81" s="56"/>
      <x:c r="B81" s="56"/>
      <x:c r="C81" s="62"/>
    </x:row>
    <x:row r="82">
      <x:c r="A82" s="56"/>
      <x:c r="B82" s="56"/>
      <x:c r="C82" s="62"/>
    </x:row>
    <x:row r="83">
      <x:c r="A83" s="56"/>
      <x:c r="B83" s="56"/>
      <x:c r="C83" s="62"/>
    </x:row>
    <x:row r="84">
      <x:c r="A84" s="56"/>
      <x:c r="B84" s="56"/>
      <x:c r="C84" s="62"/>
    </x:row>
    <x:row r="85">
      <x:c r="A85" s="56"/>
      <x:c r="B85" s="56"/>
      <x:c r="C85" s="62"/>
    </x:row>
    <x:row r="86">
      <x:c r="A86" s="56"/>
      <x:c r="B86" s="56"/>
      <x:c r="C86" s="62"/>
    </x:row>
    <x:row r="87">
      <x:c r="A87" s="56"/>
      <x:c r="B87" s="56"/>
      <x:c r="C87" s="62"/>
    </x:row>
    <x:row r="88">
      <x:c r="A88" s="56"/>
      <x:c r="B88" s="56"/>
      <x:c r="C88" s="62"/>
    </x:row>
    <x:row r="89">
      <x:c r="A89" s="56"/>
      <x:c r="B89" s="56"/>
      <x:c r="C89" s="62"/>
    </x:row>
    <x:row r="90">
      <x:c r="A90" s="56"/>
      <x:c r="B90" s="56"/>
      <x:c r="C90" s="62"/>
    </x:row>
    <x:row r="91">
      <x:c r="A91" s="56"/>
      <x:c r="B91" s="56"/>
      <x:c r="C91" s="62"/>
    </x:row>
    <x:row r="92">
      <x:c r="A92" s="56"/>
      <x:c r="B92" s="56"/>
      <x:c r="C92" s="62"/>
    </x:row>
    <x:row r="93">
      <x:c r="A93" s="56"/>
      <x:c r="B93" s="56"/>
      <x:c r="C93" s="62"/>
    </x:row>
    <x:row r="94">
      <x:c r="A94" s="56"/>
      <x:c r="B94" s="56"/>
      <x:c r="C94" s="62"/>
    </x:row>
    <x:row r="95">
      <x:c r="A95" s="56"/>
      <x:c r="B95" s="56"/>
      <x:c r="C95" s="62"/>
    </x:row>
    <x:row r="96">
      <x:c r="A96" s="56"/>
      <x:c r="B96" s="56"/>
      <x:c r="C96" s="62"/>
    </x:row>
    <x:row r="97">
      <x:c r="A97" s="56"/>
      <x:c r="B97" s="56"/>
      <x:c r="C97" s="62"/>
    </x:row>
    <x:row r="98">
      <x:c r="A98" s="56"/>
      <x:c r="B98" s="56"/>
      <x:c r="C98" s="62"/>
    </x:row>
    <x:row r="99">
      <x:c r="A99" s="56"/>
      <x:c r="B99" s="56"/>
      <x:c r="C99" s="62"/>
    </x:row>
    <x:row r="100">
      <x:c r="A100" s="56"/>
      <x:c r="B100" s="56"/>
      <x:c r="C100" s="62"/>
    </x:row>
    <x:row r="101">
      <x:c r="A101" s="56"/>
      <x:c r="B101" s="56"/>
      <x:c r="C101" s="62"/>
    </x:row>
    <x:row r="102">
      <x:c r="A102" s="56"/>
      <x:c r="B102" s="56"/>
      <x:c r="C102" s="62"/>
    </x:row>
    <x:row r="103">
      <x:c r="A103" s="56"/>
      <x:c r="B103" s="56"/>
      <x:c r="C103" s="62"/>
    </x:row>
    <x:row r="104">
      <x:c r="A104" s="56"/>
      <x:c r="B104" s="56"/>
      <x:c r="C104" s="62"/>
    </x:row>
    <x:row r="105">
      <x:c r="A105" s="56"/>
      <x:c r="B105" s="56"/>
      <x:c r="C105" s="62"/>
    </x:row>
    <x:row r="106">
      <x:c r="A106" s="56"/>
      <x:c r="B106" s="56"/>
      <x:c r="C106" s="62"/>
    </x:row>
    <x:row r="107">
      <x:c r="A107" s="56"/>
      <x:c r="B107" s="56"/>
      <x:c r="C107" s="62"/>
    </x:row>
    <x:row r="108">
      <x:c r="A108" s="56"/>
      <x:c r="B108" s="56"/>
      <x:c r="C108" s="62"/>
    </x:row>
    <x:row r="109">
      <x:c r="A109" s="56"/>
      <x:c r="B109" s="56"/>
      <x:c r="C109" s="62"/>
    </x:row>
    <x:row r="110">
      <x:c r="A110" s="56"/>
      <x:c r="B110" s="56"/>
      <x:c r="C110" s="62"/>
    </x:row>
    <x:row r="111">
      <x:c r="A111" s="56"/>
      <x:c r="B111" s="56"/>
      <x:c r="C111" s="62"/>
    </x:row>
    <x:row r="112">
      <x:c r="A112" s="56"/>
      <x:c r="B112" s="56"/>
      <x:c r="C112" s="62"/>
    </x:row>
    <x:row r="113">
      <x:c r="A113" s="56"/>
      <x:c r="B113" s="56"/>
      <x:c r="C113" s="62"/>
    </x:row>
    <x:row r="114">
      <x:c r="A114" s="56"/>
      <x:c r="B114" s="56"/>
      <x:c r="C114" s="62"/>
    </x:row>
    <x:row r="115">
      <x:c r="A115" s="56"/>
      <x:c r="B115" s="56"/>
      <x:c r="C115" s="62"/>
    </x:row>
    <x:row r="116">
      <x:c r="A116" s="56"/>
      <x:c r="B116" s="56"/>
      <x:c r="C116" s="62"/>
    </x:row>
    <x:row r="117">
      <x:c r="A117" s="56"/>
      <x:c r="B117" s="56"/>
      <x:c r="C117" s="62"/>
    </x:row>
    <x:row r="118">
      <x:c r="A118" s="56"/>
      <x:c r="B118" s="56"/>
      <x:c r="C118" s="62"/>
    </x:row>
    <x:row r="119">
      <x:c r="A119" s="56"/>
      <x:c r="B119" s="56"/>
      <x:c r="C119" s="62"/>
    </x:row>
    <x:row r="120">
      <x:c r="A120" s="56"/>
      <x:c r="B120" s="56"/>
      <x:c r="C120" s="62"/>
    </x:row>
    <x:row r="121">
      <x:c r="A121" s="56"/>
      <x:c r="B121" s="56"/>
      <x:c r="C121" s="62"/>
    </x:row>
    <x:row r="122">
      <x:c r="A122" s="56"/>
      <x:c r="B122" s="56"/>
      <x:c r="C122" s="62"/>
    </x:row>
    <x:row r="123">
      <x:c r="A123" s="56"/>
      <x:c r="B123" s="56"/>
      <x:c r="C123" s="62"/>
    </x:row>
    <x:row r="124">
      <x:c r="A124" s="56"/>
      <x:c r="B124" s="56"/>
      <x:c r="C124" s="62"/>
    </x:row>
    <x:row r="125">
      <x:c r="A125" s="56"/>
      <x:c r="B125" s="56"/>
      <x:c r="C125" s="62"/>
    </x:row>
    <x:row r="126">
      <x:c r="A126" s="56"/>
      <x:c r="B126" s="56"/>
      <x:c r="C126" s="62"/>
    </x:row>
    <x:row r="127">
      <x:c r="A127" s="56"/>
      <x:c r="B127" s="56"/>
      <x:c r="C127" s="62"/>
    </x:row>
    <x:row r="128">
      <x:c r="A128" s="56"/>
      <x:c r="B128" s="56"/>
      <x:c r="C128" s="62"/>
    </x:row>
    <x:row r="129">
      <x:c r="A129" s="56"/>
      <x:c r="B129" s="56"/>
      <x:c r="C129" s="62"/>
    </x:row>
    <x:row r="130">
      <x:c r="A130" s="56"/>
      <x:c r="B130" s="56"/>
      <x:c r="C130" s="62"/>
    </x:row>
    <x:row r="131">
      <x:c r="A131" s="56"/>
      <x:c r="B131" s="56"/>
      <x:c r="C131" s="62"/>
    </x:row>
    <x:row r="132">
      <x:c r="A132" s="56"/>
      <x:c r="B132" s="56"/>
      <x:c r="C132" s="62"/>
    </x:row>
    <x:row r="133">
      <x:c r="A133" s="56"/>
      <x:c r="B133" s="56"/>
      <x:c r="C133" s="62"/>
    </x:row>
    <x:row r="134">
      <x:c r="A134" s="56"/>
      <x:c r="B134" s="56"/>
      <x:c r="C134" s="62"/>
    </x:row>
    <x:row r="135">
      <x:c r="A135" s="56"/>
      <x:c r="B135" s="56"/>
      <x:c r="C135" s="62"/>
    </x:row>
    <x:row r="136">
      <x:c r="A136" s="56"/>
      <x:c r="B136" s="56"/>
      <x:c r="C136" s="62"/>
    </x:row>
    <x:row r="137">
      <x:c r="A137" s="56"/>
      <x:c r="B137" s="56"/>
      <x:c r="C137" s="62"/>
    </x:row>
    <x:row r="138">
      <x:c r="A138" s="56"/>
      <x:c r="B138" s="56"/>
      <x:c r="C138" s="62"/>
    </x:row>
    <x:row r="139">
      <x:c r="A139" s="56"/>
      <x:c r="B139" s="56"/>
      <x:c r="C139" s="62"/>
    </x:row>
    <x:row r="140">
      <x:c r="A140" s="56"/>
      <x:c r="B140" s="56"/>
      <x:c r="C140" s="62"/>
    </x:row>
    <x:row r="141">
      <x:c r="A141" s="56"/>
      <x:c r="B141" s="56"/>
      <x:c r="C141" s="62"/>
    </x:row>
    <x:row r="142">
      <x:c r="A142" s="56"/>
      <x:c r="B142" s="56"/>
      <x:c r="C142" s="62"/>
    </x:row>
    <x:row r="143">
      <x:c r="A143" s="56"/>
      <x:c r="B143" s="56"/>
      <x:c r="C143" s="62"/>
    </x:row>
    <x:row r="144">
      <x:c r="A144" s="56"/>
      <x:c r="B144" s="56"/>
      <x:c r="C144" s="62"/>
    </x:row>
    <x:row r="145">
      <x:c r="A145" s="56"/>
      <x:c r="B145" s="56"/>
      <x:c r="C145" s="62"/>
    </x:row>
    <x:row r="146">
      <x:c r="A146" s="56"/>
      <x:c r="B146" s="56"/>
      <x:c r="C146" s="62"/>
    </x:row>
    <x:row r="147">
      <x:c r="A147" s="56"/>
      <x:c r="B147" s="56"/>
      <x:c r="C147" s="62"/>
    </x:row>
    <x:row r="148">
      <x:c r="A148" s="56"/>
      <x:c r="B148" s="56"/>
      <x:c r="C148" s="62"/>
    </x:row>
    <x:row r="149">
      <x:c r="A149" s="56"/>
      <x:c r="B149" s="56"/>
      <x:c r="C149" s="62"/>
    </x:row>
    <x:row r="150">
      <x:c r="A150" s="56"/>
      <x:c r="B150" s="56"/>
      <x:c r="C150" s="62"/>
    </x:row>
    <x:row r="151">
      <x:c r="A151" s="56"/>
      <x:c r="B151" s="56"/>
      <x:c r="C151" s="62"/>
    </x:row>
    <x:row r="152">
      <x:c r="A152" s="56"/>
      <x:c r="B152" s="56"/>
      <x:c r="C152" s="62"/>
    </x:row>
    <x:row r="153">
      <x:c r="A153" s="56"/>
      <x:c r="B153" s="56"/>
      <x:c r="C153" s="62"/>
    </x:row>
    <x:row r="154">
      <x:c r="A154" s="56"/>
      <x:c r="B154" s="56"/>
      <x:c r="C154" s="62"/>
    </x:row>
    <x:row r="155">
      <x:c r="A155" s="56"/>
      <x:c r="B155" s="56"/>
      <x:c r="C155" s="62"/>
    </x:row>
    <x:row r="156">
      <x:c r="A156" s="56"/>
      <x:c r="B156" s="56"/>
      <x:c r="C156" s="62"/>
    </x:row>
    <x:row r="157">
      <x:c r="A157" s="56"/>
      <x:c r="B157" s="56"/>
      <x:c r="C157" s="62"/>
    </x:row>
    <x:row r="158">
      <x:c r="A158" s="56"/>
      <x:c r="B158" s="56"/>
      <x:c r="C158" s="62"/>
    </x:row>
    <x:row r="159">
      <x:c r="A159" s="56"/>
      <x:c r="B159" s="56"/>
      <x:c r="C159" s="62"/>
    </x:row>
    <x:row r="160">
      <x:c r="A160" s="56"/>
      <x:c r="B160" s="56"/>
      <x:c r="C160" s="62"/>
    </x:row>
    <x:row r="161">
      <x:c r="A161" s="56"/>
      <x:c r="B161" s="56"/>
      <x:c r="C161" s="62"/>
    </x:row>
    <x:row r="162">
      <x:c r="A162" s="56"/>
      <x:c r="B162" s="56"/>
      <x:c r="C162" s="62"/>
    </x:row>
    <x:row r="163">
      <x:c r="A163" s="56"/>
      <x:c r="B163" s="56"/>
      <x:c r="C163" s="62"/>
    </x:row>
    <x:row r="164">
      <x:c r="A164" s="56"/>
      <x:c r="B164" s="56"/>
      <x:c r="C164" s="62"/>
    </x:row>
    <x:row r="165">
      <x:c r="A165" s="56"/>
      <x:c r="B165" s="56"/>
      <x:c r="C165" s="62"/>
    </x:row>
    <x:row r="166">
      <x:c r="A166" s="56"/>
      <x:c r="B166" s="56"/>
      <x:c r="C166" s="62"/>
    </x:row>
    <x:row r="167">
      <x:c r="A167" s="56"/>
      <x:c r="B167" s="56"/>
      <x:c r="C167" s="62"/>
    </x:row>
    <x:row r="168">
      <x:c r="A168" s="56"/>
      <x:c r="B168" s="56"/>
      <x:c r="C168" s="62"/>
    </x:row>
    <x:row r="169">
      <x:c r="A169" s="56"/>
      <x:c r="B169" s="56"/>
      <x:c r="C169" s="62"/>
    </x:row>
    <x:row r="170">
      <x:c r="A170" s="56"/>
      <x:c r="B170" s="56"/>
      <x:c r="C170" s="62"/>
    </x:row>
    <x:row r="171">
      <x:c r="A171" s="56"/>
      <x:c r="B171" s="56"/>
      <x:c r="C171" s="62"/>
    </x:row>
    <x:row r="172">
      <x:c r="A172" s="56"/>
      <x:c r="B172" s="56"/>
      <x:c r="C172" s="62"/>
    </x:row>
    <x:row r="173">
      <x:c r="A173" s="56"/>
      <x:c r="B173" s="56"/>
      <x:c r="C173" s="62"/>
    </x:row>
    <x:row r="174">
      <x:c r="A174" s="56"/>
      <x:c r="B174" s="56"/>
      <x:c r="C174" s="62"/>
    </x:row>
    <x:row r="175">
      <x:c r="A175" s="56"/>
      <x:c r="B175" s="56"/>
      <x:c r="C175" s="62"/>
    </x:row>
    <x:row r="176">
      <x:c r="A176" s="56"/>
      <x:c r="B176" s="56"/>
      <x:c r="C176" s="62"/>
    </x:row>
    <x:row r="177">
      <x:c r="A177" s="56"/>
      <x:c r="B177" s="56"/>
      <x:c r="C177" s="62"/>
    </x:row>
    <x:row r="178">
      <x:c r="A178" s="56"/>
      <x:c r="B178" s="56"/>
      <x:c r="C178" s="62"/>
    </x:row>
    <x:row r="179">
      <x:c r="A179" s="56"/>
      <x:c r="B179" s="56"/>
      <x:c r="C179" s="62"/>
    </x:row>
    <x:row r="180">
      <x:c r="A180" s="56"/>
      <x:c r="B180" s="56"/>
      <x:c r="C180" s="62"/>
    </x:row>
    <x:row r="181">
      <x:c r="A181" s="56"/>
      <x:c r="B181" s="56"/>
      <x:c r="C181" s="62"/>
    </x:row>
    <x:row r="182">
      <x:c r="A182" s="56"/>
      <x:c r="B182" s="56"/>
      <x:c r="C182" s="62"/>
    </x:row>
    <x:row r="183">
      <x:c r="A183" s="56"/>
      <x:c r="B183" s="56"/>
      <x:c r="C183" s="62"/>
    </x:row>
    <x:row r="184">
      <x:c r="A184" s="56"/>
      <x:c r="B184" s="56"/>
      <x:c r="C184" s="62"/>
    </x:row>
    <x:row r="185">
      <x:c r="A185" s="56"/>
      <x:c r="B185" s="56"/>
      <x:c r="C185" s="62"/>
    </x:row>
    <x:row r="186">
      <x:c r="A186" s="56"/>
      <x:c r="B186" s="56"/>
      <x:c r="C186" s="62"/>
    </x:row>
    <x:row r="187">
      <x:c r="A187" s="56"/>
      <x:c r="B187" s="56"/>
      <x:c r="C187" s="62"/>
    </x:row>
    <x:row r="188">
      <x:c r="A188" s="56"/>
      <x:c r="B188" s="56"/>
      <x:c r="C188" s="62"/>
    </x:row>
    <x:row r="189">
      <x:c r="A189" s="56"/>
      <x:c r="B189" s="56"/>
      <x:c r="C189" s="62"/>
    </x:row>
    <x:row r="190">
      <x:c r="A190" s="56"/>
      <x:c r="B190" s="56"/>
      <x:c r="C190" s="62"/>
    </x:row>
    <x:row r="191">
      <x:c r="A191" s="56"/>
      <x:c r="B191" s="56"/>
      <x:c r="C191" s="62"/>
    </x:row>
    <x:row r="192">
      <x:c r="A192" s="56"/>
      <x:c r="B192" s="56"/>
      <x:c r="C192" s="62"/>
    </x:row>
    <x:row r="193">
      <x:c r="A193" s="56"/>
      <x:c r="B193" s="56"/>
      <x:c r="C193" s="62"/>
    </x:row>
    <x:row r="194">
      <x:c r="A194" s="56"/>
      <x:c r="B194" s="56"/>
      <x:c r="C194" s="62"/>
    </x:row>
    <x:row r="195">
      <x:c r="A195" s="56"/>
      <x:c r="B195" s="56"/>
      <x:c r="C195" s="62"/>
    </x:row>
    <x:row r="196">
      <x:c r="A196" s="56"/>
      <x:c r="B196" s="56"/>
      <x:c r="C196" s="62"/>
    </x:row>
    <x:row r="197">
      <x:c r="A197" s="56"/>
      <x:c r="B197" s="56"/>
      <x:c r="C197" s="62"/>
    </x:row>
    <x:row r="198">
      <x:c r="A198" s="56"/>
      <x:c r="B198" s="56"/>
      <x:c r="C198" s="62"/>
    </x:row>
    <x:row r="199">
      <x:c r="A199" s="56"/>
      <x:c r="B199" s="56"/>
      <x:c r="C199" s="62"/>
    </x:row>
    <x:row r="200">
      <x:c r="A200" s="56"/>
      <x:c r="B200" s="56"/>
      <x:c r="C200" s="62"/>
    </x:row>
    <x:row r="201">
      <x:c r="A201" s="56"/>
      <x:c r="B201" s="56"/>
      <x:c r="C201" s="62"/>
    </x:row>
    <x:row r="202">
      <x:c r="A202" s="56"/>
      <x:c r="B202" s="56"/>
      <x:c r="C202" s="62"/>
    </x:row>
    <x:row r="203">
      <x:c r="A203" s="56"/>
      <x:c r="B203" s="56"/>
      <x:c r="C203" s="62"/>
    </x:row>
    <x:row r="204">
      <x:c r="A204" s="56"/>
      <x:c r="B204" s="56"/>
      <x:c r="C204" s="6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559999465942383" hidden="0" customWidth="1"/>
    <x:col min="2" max="2" width="17.790000915527344" hidden="0" customWidth="1"/>
    <x:col min="3" max="3" width="11.65999984741211" hidden="0" customWidth="1"/>
    <x:col min="4" max="4" width="16.559999465942383" hidden="0" customWidth="1"/>
    <x:col min="5" max="5" width="21.469999313354492" hidden="0" customWidth="1"/>
    <x:col min="6" max="6" width="14.109999656677246" hidden="0" customWidth="1"/>
    <x:col min="7" max="7" width="10.430000305175781" hidden="0" customWidth="1"/>
    <x:col min="8" max="8" width="28.829999923706055" hidden="0" customWidth="1"/>
    <x:col min="9" max="9" width="12.880000114440918" hidden="0" customWidth="1"/>
    <x:col min="10" max="10" width="12.880000114440918" hidden="0" customWidth="1"/>
  </x:cols>
  <x:sheetData>
    <x:row r="1">
      <x:c r="A1" s="49" t="str">
        <x:v>인원관리</x:v>
      </x:c>
      <x:c r="B1" s="50"/>
      <x:c r="C1" s="50"/>
      <x:c r="D1" s="50"/>
      <x:c r="E1" s="50"/>
      <x:c r="F1" s="50"/>
      <x:c r="G1" s="50"/>
      <x:c r="H1" s="50"/>
      <x:c r="I1" s="50"/>
      <x:c r="J1" s="50"/>
    </x:row>
    <x:row r="2">
      <x:c r="A2" s="49" t="str">
        <x:v>대분류/소분류 기준으로 대상자와 적용 인원을 계산합니다.</x:v>
      </x:c>
      <x:c r="B2" s="50"/>
      <x:c r="C2" s="50"/>
      <x:c r="D2" s="50"/>
      <x:c r="E2" s="50"/>
      <x:c r="F2" s="50"/>
      <x:c r="G2" s="50"/>
      <x:c r="H2" s="50"/>
      <x:c r="I2" s="50"/>
      <x:c r="J2" s="50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</x:row>
    <x:row r="4">
      <x:c r="A4" s="55" t="str">
        <x:v>대분류</x:v>
      </x:c>
      <x:c r="B4" s="55" t="str">
        <x:v>소분류</x:v>
      </x:c>
      <x:c r="C4" s="55" t="str">
        <x:v>퍼센티지</x:v>
      </x:c>
      <x:c r="D4" s="55" t="str">
        <x:v>성명</x:v>
      </x:c>
      <x:c r="E4" s="55" t="str">
        <x:v>대상자와 관계</x:v>
      </x:c>
      <x:c r="F4" s="55" t="str">
        <x:v>금액</x:v>
      </x:c>
      <x:c r="G4" s="55" t="str">
        <x:v>청첩장</x:v>
      </x:c>
      <x:c r="H4" s="55" t="str">
        <x:v>메모</x:v>
      </x:c>
      <x:c r="I4" s="55" t="str">
        <x:v>대상자 수</x:v>
      </x:c>
      <x:c r="J4" s="55" t="str">
        <x:v>적용 수</x:v>
      </x:c>
    </x:row>
    <x:row r="5">
      <x:c r="A5" s="56"/>
      <x:c r="B5" s="56"/>
      <x:c r="C5" s="63" t="str">
        <x:f>IF(OR(A5="",B5=""),"",IFERROR(SUMIFS('05_인원분류'!$C$5:$C$204,'05_인원분류'!$A$5:$A$204,A5,'05_인원분류'!$B$5:$B$204,B5),""))</x:f>
      </x:c>
      <x:c r="D5" s="56"/>
      <x:c r="E5" s="56"/>
      <x:c r="F5" s="64"/>
      <x:c r="G5" s="56"/>
      <x:c r="H5" s="56"/>
      <x:c r="I5" s="65" t="str">
        <x:f>IF(OR(A5="",B5=""),"",COUNTIFS($A$5:$A$204,A5,$B$5:$B$204,B5))</x:f>
      </x:c>
      <x:c r="J5" s="65" t="str">
        <x:f>IF(I5="","",ROUND(I5*C5,0))</x:f>
      </x:c>
    </x:row>
    <x:row r="6">
      <x:c r="A6" s="56"/>
      <x:c r="B6" s="56"/>
      <x:c r="C6" s="63" t="str">
        <x:f>IF(OR(A6="",B6=""),"",IFERROR(SUMIFS('05_인원분류'!$C$5:$C$204,'05_인원분류'!$A$5:$A$204,A6,'05_인원분류'!$B$5:$B$204,B6),""))</x:f>
      </x:c>
      <x:c r="D6" s="56"/>
      <x:c r="E6" s="56"/>
      <x:c r="F6" s="64"/>
      <x:c r="G6" s="56"/>
      <x:c r="H6" s="56"/>
      <x:c r="I6" s="65" t="str">
        <x:f>IF(OR(A6="",B6=""),"",COUNTIFS($A$5:$A$204,A6,$B$5:$B$204,B6))</x:f>
      </x:c>
      <x:c r="J6" s="65" t="str">
        <x:f>IF(I6="","",ROUND(I6*C6,0))</x:f>
      </x:c>
    </x:row>
    <x:row r="7">
      <x:c r="A7" s="56"/>
      <x:c r="B7" s="56"/>
      <x:c r="C7" s="63" t="str">
        <x:f>IF(OR(A7="",B7=""),"",IFERROR(SUMIFS('05_인원분류'!$C$5:$C$204,'05_인원분류'!$A$5:$A$204,A7,'05_인원분류'!$B$5:$B$204,B7),""))</x:f>
      </x:c>
      <x:c r="D7" s="56"/>
      <x:c r="E7" s="56"/>
      <x:c r="F7" s="64"/>
      <x:c r="G7" s="56"/>
      <x:c r="H7" s="56"/>
      <x:c r="I7" s="65" t="str">
        <x:f>IF(OR(A7="",B7=""),"",COUNTIFS($A$5:$A$204,A7,$B$5:$B$204,B7))</x:f>
      </x:c>
      <x:c r="J7" s="65" t="str">
        <x:f>IF(I7="","",ROUND(I7*C7,0))</x:f>
      </x:c>
    </x:row>
    <x:row r="8">
      <x:c r="A8" s="56"/>
      <x:c r="B8" s="56"/>
      <x:c r="C8" s="63" t="str">
        <x:f>IF(OR(A8="",B8=""),"",IFERROR(SUMIFS('05_인원분류'!$C$5:$C$204,'05_인원분류'!$A$5:$A$204,A8,'05_인원분류'!$B$5:$B$204,B8),""))</x:f>
      </x:c>
      <x:c r="D8" s="56"/>
      <x:c r="E8" s="56"/>
      <x:c r="F8" s="64"/>
      <x:c r="G8" s="56"/>
      <x:c r="H8" s="56"/>
      <x:c r="I8" s="65" t="str">
        <x:f>IF(OR(A8="",B8=""),"",COUNTIFS($A$5:$A$204,A8,$B$5:$B$204,B8))</x:f>
      </x:c>
      <x:c r="J8" s="65" t="str">
        <x:f>IF(I8="","",ROUND(I8*C8,0))</x:f>
      </x:c>
    </x:row>
    <x:row r="9">
      <x:c r="A9" s="56"/>
      <x:c r="B9" s="56"/>
      <x:c r="C9" s="63" t="str">
        <x:f>IF(OR(A9="",B9=""),"",IFERROR(SUMIFS('05_인원분류'!$C$5:$C$204,'05_인원분류'!$A$5:$A$204,A9,'05_인원분류'!$B$5:$B$204,B9),""))</x:f>
      </x:c>
      <x:c r="D9" s="56"/>
      <x:c r="E9" s="56"/>
      <x:c r="F9" s="64"/>
      <x:c r="G9" s="56"/>
      <x:c r="H9" s="56"/>
      <x:c r="I9" s="65" t="str">
        <x:f>IF(OR(A9="",B9=""),"",COUNTIFS($A$5:$A$204,A9,$B$5:$B$204,B9))</x:f>
      </x:c>
      <x:c r="J9" s="65" t="str">
        <x:f>IF(I9="","",ROUND(I9*C9,0))</x:f>
      </x:c>
    </x:row>
    <x:row r="10">
      <x:c r="A10" s="56"/>
      <x:c r="B10" s="56"/>
      <x:c r="C10" s="63" t="str">
        <x:f>IF(OR(A10="",B10=""),"",IFERROR(SUMIFS('05_인원분류'!$C$5:$C$204,'05_인원분류'!$A$5:$A$204,A10,'05_인원분류'!$B$5:$B$204,B10),""))</x:f>
      </x:c>
      <x:c r="D10" s="56"/>
      <x:c r="E10" s="56"/>
      <x:c r="F10" s="64"/>
      <x:c r="G10" s="56"/>
      <x:c r="H10" s="56"/>
      <x:c r="I10" s="65" t="str">
        <x:f>IF(OR(A10="",B10=""),"",COUNTIFS($A$5:$A$204,A10,$B$5:$B$204,B10))</x:f>
      </x:c>
      <x:c r="J10" s="65" t="str">
        <x:f>IF(I10="","",ROUND(I10*C10,0))</x:f>
      </x:c>
    </x:row>
    <x:row r="11">
      <x:c r="A11" s="56"/>
      <x:c r="B11" s="56"/>
      <x:c r="C11" s="63" t="str">
        <x:f>IF(OR(A11="",B11=""),"",IFERROR(SUMIFS('05_인원분류'!$C$5:$C$204,'05_인원분류'!$A$5:$A$204,A11,'05_인원분류'!$B$5:$B$204,B11),""))</x:f>
      </x:c>
      <x:c r="D11" s="56"/>
      <x:c r="E11" s="56"/>
      <x:c r="F11" s="64"/>
      <x:c r="G11" s="56"/>
      <x:c r="H11" s="56"/>
      <x:c r="I11" s="65" t="str">
        <x:f>IF(OR(A11="",B11=""),"",COUNTIFS($A$5:$A$204,A11,$B$5:$B$204,B11))</x:f>
      </x:c>
      <x:c r="J11" s="65" t="str">
        <x:f>IF(I11="","",ROUND(I11*C11,0))</x:f>
      </x:c>
    </x:row>
    <x:row r="12">
      <x:c r="A12" s="56"/>
      <x:c r="B12" s="56"/>
      <x:c r="C12" s="63" t="str">
        <x:f>IF(OR(A12="",B12=""),"",IFERROR(SUMIFS('05_인원분류'!$C$5:$C$204,'05_인원분류'!$A$5:$A$204,A12,'05_인원분류'!$B$5:$B$204,B12),""))</x:f>
      </x:c>
      <x:c r="D12" s="56"/>
      <x:c r="E12" s="56"/>
      <x:c r="F12" s="64"/>
      <x:c r="G12" s="56"/>
      <x:c r="H12" s="56"/>
      <x:c r="I12" s="65" t="str">
        <x:f>IF(OR(A12="",B12=""),"",COUNTIFS($A$5:$A$204,A12,$B$5:$B$204,B12))</x:f>
      </x:c>
      <x:c r="J12" s="65" t="str">
        <x:f>IF(I12="","",ROUND(I12*C12,0))</x:f>
      </x:c>
    </x:row>
    <x:row r="13">
      <x:c r="A13" s="56"/>
      <x:c r="B13" s="56"/>
      <x:c r="C13" s="63" t="str">
        <x:f>IF(OR(A13="",B13=""),"",IFERROR(SUMIFS('05_인원분류'!$C$5:$C$204,'05_인원분류'!$A$5:$A$204,A13,'05_인원분류'!$B$5:$B$204,B13),""))</x:f>
      </x:c>
      <x:c r="D13" s="56"/>
      <x:c r="E13" s="56"/>
      <x:c r="F13" s="64"/>
      <x:c r="G13" s="56"/>
      <x:c r="H13" s="56"/>
      <x:c r="I13" s="65" t="str">
        <x:f>IF(OR(A13="",B13=""),"",COUNTIFS($A$5:$A$204,A13,$B$5:$B$204,B13))</x:f>
      </x:c>
      <x:c r="J13" s="65" t="str">
        <x:f>IF(I13="","",ROUND(I13*C13,0))</x:f>
      </x:c>
    </x:row>
    <x:row r="14">
      <x:c r="A14" s="56"/>
      <x:c r="B14" s="56"/>
      <x:c r="C14" s="63" t="str">
        <x:f>IF(OR(A14="",B14=""),"",IFERROR(SUMIFS('05_인원분류'!$C$5:$C$204,'05_인원분류'!$A$5:$A$204,A14,'05_인원분류'!$B$5:$B$204,B14),""))</x:f>
      </x:c>
      <x:c r="D14" s="56"/>
      <x:c r="E14" s="56"/>
      <x:c r="F14" s="64"/>
      <x:c r="G14" s="56"/>
      <x:c r="H14" s="56"/>
      <x:c r="I14" s="65" t="str">
        <x:f>IF(OR(A14="",B14=""),"",COUNTIFS($A$5:$A$204,A14,$B$5:$B$204,B14))</x:f>
      </x:c>
      <x:c r="J14" s="65" t="str">
        <x:f>IF(I14="","",ROUND(I14*C14,0))</x:f>
      </x:c>
    </x:row>
    <x:row r="15">
      <x:c r="A15" s="56"/>
      <x:c r="B15" s="56"/>
      <x:c r="C15" s="63" t="str">
        <x:f>IF(OR(A15="",B15=""),"",IFERROR(SUMIFS('05_인원분류'!$C$5:$C$204,'05_인원분류'!$A$5:$A$204,A15,'05_인원분류'!$B$5:$B$204,B15),""))</x:f>
      </x:c>
      <x:c r="D15" s="56"/>
      <x:c r="E15" s="56"/>
      <x:c r="F15" s="64"/>
      <x:c r="G15" s="56"/>
      <x:c r="H15" s="56"/>
      <x:c r="I15" s="65" t="str">
        <x:f>IF(OR(A15="",B15=""),"",COUNTIFS($A$5:$A$204,A15,$B$5:$B$204,B15))</x:f>
      </x:c>
      <x:c r="J15" s="65" t="str">
        <x:f>IF(I15="","",ROUND(I15*C15,0))</x:f>
      </x:c>
    </x:row>
    <x:row r="16">
      <x:c r="A16" s="56"/>
      <x:c r="B16" s="56"/>
      <x:c r="C16" s="63" t="str">
        <x:f>IF(OR(A16="",B16=""),"",IFERROR(SUMIFS('05_인원분류'!$C$5:$C$204,'05_인원분류'!$A$5:$A$204,A16,'05_인원분류'!$B$5:$B$204,B16),""))</x:f>
      </x:c>
      <x:c r="D16" s="56"/>
      <x:c r="E16" s="56"/>
      <x:c r="F16" s="64"/>
      <x:c r="G16" s="56"/>
      <x:c r="H16" s="56"/>
      <x:c r="I16" s="65" t="str">
        <x:f>IF(OR(A16="",B16=""),"",COUNTIFS($A$5:$A$204,A16,$B$5:$B$204,B16))</x:f>
      </x:c>
      <x:c r="J16" s="65" t="str">
        <x:f>IF(I16="","",ROUND(I16*C16,0))</x:f>
      </x:c>
    </x:row>
    <x:row r="17">
      <x:c r="A17" s="56"/>
      <x:c r="B17" s="56"/>
      <x:c r="C17" s="63" t="str">
        <x:f>IF(OR(A17="",B17=""),"",IFERROR(SUMIFS('05_인원분류'!$C$5:$C$204,'05_인원분류'!$A$5:$A$204,A17,'05_인원분류'!$B$5:$B$204,B17),""))</x:f>
      </x:c>
      <x:c r="D17" s="56"/>
      <x:c r="E17" s="56"/>
      <x:c r="F17" s="64"/>
      <x:c r="G17" s="56"/>
      <x:c r="H17" s="56"/>
      <x:c r="I17" s="65" t="str">
        <x:f>IF(OR(A17="",B17=""),"",COUNTIFS($A$5:$A$204,A17,$B$5:$B$204,B17))</x:f>
      </x:c>
      <x:c r="J17" s="65" t="str">
        <x:f>IF(I17="","",ROUND(I17*C17,0))</x:f>
      </x:c>
    </x:row>
    <x:row r="18">
      <x:c r="A18" s="56"/>
      <x:c r="B18" s="56"/>
      <x:c r="C18" s="63" t="str">
        <x:f>IF(OR(A18="",B18=""),"",IFERROR(SUMIFS('05_인원분류'!$C$5:$C$204,'05_인원분류'!$A$5:$A$204,A18,'05_인원분류'!$B$5:$B$204,B18),""))</x:f>
      </x:c>
      <x:c r="D18" s="56"/>
      <x:c r="E18" s="56"/>
      <x:c r="F18" s="64"/>
      <x:c r="G18" s="56"/>
      <x:c r="H18" s="56"/>
      <x:c r="I18" s="65" t="str">
        <x:f>IF(OR(A18="",B18=""),"",COUNTIFS($A$5:$A$204,A18,$B$5:$B$204,B18))</x:f>
      </x:c>
      <x:c r="J18" s="65" t="str">
        <x:f>IF(I18="","",ROUND(I18*C18,0))</x:f>
      </x:c>
    </x:row>
    <x:row r="19">
      <x:c r="A19" s="56"/>
      <x:c r="B19" s="56"/>
      <x:c r="C19" s="63" t="str">
        <x:f>IF(OR(A19="",B19=""),"",IFERROR(SUMIFS('05_인원분류'!$C$5:$C$204,'05_인원분류'!$A$5:$A$204,A19,'05_인원분류'!$B$5:$B$204,B19),""))</x:f>
      </x:c>
      <x:c r="D19" s="56"/>
      <x:c r="E19" s="56"/>
      <x:c r="F19" s="64"/>
      <x:c r="G19" s="56"/>
      <x:c r="H19" s="56"/>
      <x:c r="I19" s="65" t="str">
        <x:f>IF(OR(A19="",B19=""),"",COUNTIFS($A$5:$A$204,A19,$B$5:$B$204,B19))</x:f>
      </x:c>
      <x:c r="J19" s="65" t="str">
        <x:f>IF(I19="","",ROUND(I19*C19,0))</x:f>
      </x:c>
    </x:row>
    <x:row r="20">
      <x:c r="A20" s="56"/>
      <x:c r="B20" s="56"/>
      <x:c r="C20" s="63" t="str">
        <x:f>IF(OR(A20="",B20=""),"",IFERROR(SUMIFS('05_인원분류'!$C$5:$C$204,'05_인원분류'!$A$5:$A$204,A20,'05_인원분류'!$B$5:$B$204,B20),""))</x:f>
      </x:c>
      <x:c r="D20" s="56"/>
      <x:c r="E20" s="56"/>
      <x:c r="F20" s="64"/>
      <x:c r="G20" s="56"/>
      <x:c r="H20" s="56"/>
      <x:c r="I20" s="65" t="str">
        <x:f>IF(OR(A20="",B20=""),"",COUNTIFS($A$5:$A$204,A20,$B$5:$B$204,B20))</x:f>
      </x:c>
      <x:c r="J20" s="65" t="str">
        <x:f>IF(I20="","",ROUND(I20*C20,0))</x:f>
      </x:c>
    </x:row>
    <x:row r="21">
      <x:c r="A21" s="56"/>
      <x:c r="B21" s="56"/>
      <x:c r="C21" s="63" t="str">
        <x:f>IF(OR(A21="",B21=""),"",IFERROR(SUMIFS('05_인원분류'!$C$5:$C$204,'05_인원분류'!$A$5:$A$204,A21,'05_인원분류'!$B$5:$B$204,B21),""))</x:f>
      </x:c>
      <x:c r="D21" s="56"/>
      <x:c r="E21" s="56"/>
      <x:c r="F21" s="64"/>
      <x:c r="G21" s="56"/>
      <x:c r="H21" s="56"/>
      <x:c r="I21" s="65" t="str">
        <x:f>IF(OR(A21="",B21=""),"",COUNTIFS($A$5:$A$204,A21,$B$5:$B$204,B21))</x:f>
      </x:c>
      <x:c r="J21" s="65" t="str">
        <x:f>IF(I21="","",ROUND(I21*C21,0))</x:f>
      </x:c>
    </x:row>
    <x:row r="22">
      <x:c r="A22" s="56"/>
      <x:c r="B22" s="56"/>
      <x:c r="C22" s="63" t="str">
        <x:f>IF(OR(A22="",B22=""),"",IFERROR(SUMIFS('05_인원분류'!$C$5:$C$204,'05_인원분류'!$A$5:$A$204,A22,'05_인원분류'!$B$5:$B$204,B22),""))</x:f>
      </x:c>
      <x:c r="D22" s="56"/>
      <x:c r="E22" s="56"/>
      <x:c r="F22" s="64"/>
      <x:c r="G22" s="56"/>
      <x:c r="H22" s="56"/>
      <x:c r="I22" s="65" t="str">
        <x:f>IF(OR(A22="",B22=""),"",COUNTIFS($A$5:$A$204,A22,$B$5:$B$204,B22))</x:f>
      </x:c>
      <x:c r="J22" s="65" t="str">
        <x:f>IF(I22="","",ROUND(I22*C22,0))</x:f>
      </x:c>
    </x:row>
    <x:row r="23">
      <x:c r="A23" s="56"/>
      <x:c r="B23" s="56"/>
      <x:c r="C23" s="63" t="str">
        <x:f>IF(OR(A23="",B23=""),"",IFERROR(SUMIFS('05_인원분류'!$C$5:$C$204,'05_인원분류'!$A$5:$A$204,A23,'05_인원분류'!$B$5:$B$204,B23),""))</x:f>
      </x:c>
      <x:c r="D23" s="56"/>
      <x:c r="E23" s="56"/>
      <x:c r="F23" s="64"/>
      <x:c r="G23" s="56"/>
      <x:c r="H23" s="56"/>
      <x:c r="I23" s="65" t="str">
        <x:f>IF(OR(A23="",B23=""),"",COUNTIFS($A$5:$A$204,A23,$B$5:$B$204,B23))</x:f>
      </x:c>
      <x:c r="J23" s="65" t="str">
        <x:f>IF(I23="","",ROUND(I23*C23,0))</x:f>
      </x:c>
    </x:row>
    <x:row r="24">
      <x:c r="A24" s="56"/>
      <x:c r="B24" s="56"/>
      <x:c r="C24" s="63" t="str">
        <x:f>IF(OR(A24="",B24=""),"",IFERROR(SUMIFS('05_인원분류'!$C$5:$C$204,'05_인원분류'!$A$5:$A$204,A24,'05_인원분류'!$B$5:$B$204,B24),""))</x:f>
      </x:c>
      <x:c r="D24" s="56"/>
      <x:c r="E24" s="56"/>
      <x:c r="F24" s="64"/>
      <x:c r="G24" s="56"/>
      <x:c r="H24" s="56"/>
      <x:c r="I24" s="65" t="str">
        <x:f>IF(OR(A24="",B24=""),"",COUNTIFS($A$5:$A$204,A24,$B$5:$B$204,B24))</x:f>
      </x:c>
      <x:c r="J24" s="65" t="str">
        <x:f>IF(I24="","",ROUND(I24*C24,0))</x:f>
      </x:c>
    </x:row>
    <x:row r="25">
      <x:c r="A25" s="56"/>
      <x:c r="B25" s="56"/>
      <x:c r="C25" s="63" t="str">
        <x:f>IF(OR(A25="",B25=""),"",IFERROR(SUMIFS('05_인원분류'!$C$5:$C$204,'05_인원분류'!$A$5:$A$204,A25,'05_인원분류'!$B$5:$B$204,B25),""))</x:f>
      </x:c>
      <x:c r="D25" s="56"/>
      <x:c r="E25" s="56"/>
      <x:c r="F25" s="64"/>
      <x:c r="G25" s="56"/>
      <x:c r="H25" s="56"/>
      <x:c r="I25" s="65" t="str">
        <x:f>IF(OR(A25="",B25=""),"",COUNTIFS($A$5:$A$204,A25,$B$5:$B$204,B25))</x:f>
      </x:c>
      <x:c r="J25" s="65" t="str">
        <x:f>IF(I25="","",ROUND(I25*C25,0))</x:f>
      </x:c>
    </x:row>
    <x:row r="26">
      <x:c r="A26" s="56"/>
      <x:c r="B26" s="56"/>
      <x:c r="C26" s="63" t="str">
        <x:f>IF(OR(A26="",B26=""),"",IFERROR(SUMIFS('05_인원분류'!$C$5:$C$204,'05_인원분류'!$A$5:$A$204,A26,'05_인원분류'!$B$5:$B$204,B26),""))</x:f>
      </x:c>
      <x:c r="D26" s="56"/>
      <x:c r="E26" s="56"/>
      <x:c r="F26" s="64"/>
      <x:c r="G26" s="56"/>
      <x:c r="H26" s="56"/>
      <x:c r="I26" s="65" t="str">
        <x:f>IF(OR(A26="",B26=""),"",COUNTIFS($A$5:$A$204,A26,$B$5:$B$204,B26))</x:f>
      </x:c>
      <x:c r="J26" s="65" t="str">
        <x:f>IF(I26="","",ROUND(I26*C26,0))</x:f>
      </x:c>
    </x:row>
    <x:row r="27">
      <x:c r="A27" s="56"/>
      <x:c r="B27" s="56"/>
      <x:c r="C27" s="63" t="str">
        <x:f>IF(OR(A27="",B27=""),"",IFERROR(SUMIFS('05_인원분류'!$C$5:$C$204,'05_인원분류'!$A$5:$A$204,A27,'05_인원분류'!$B$5:$B$204,B27),""))</x:f>
      </x:c>
      <x:c r="D27" s="56"/>
      <x:c r="E27" s="56"/>
      <x:c r="F27" s="64"/>
      <x:c r="G27" s="56"/>
      <x:c r="H27" s="56"/>
      <x:c r="I27" s="65" t="str">
        <x:f>IF(OR(A27="",B27=""),"",COUNTIFS($A$5:$A$204,A27,$B$5:$B$204,B27))</x:f>
      </x:c>
      <x:c r="J27" s="65" t="str">
        <x:f>IF(I27="","",ROUND(I27*C27,0))</x:f>
      </x:c>
    </x:row>
    <x:row r="28">
      <x:c r="A28" s="56"/>
      <x:c r="B28" s="56"/>
      <x:c r="C28" s="63" t="str">
        <x:f>IF(OR(A28="",B28=""),"",IFERROR(SUMIFS('05_인원분류'!$C$5:$C$204,'05_인원분류'!$A$5:$A$204,A28,'05_인원분류'!$B$5:$B$204,B28),""))</x:f>
      </x:c>
      <x:c r="D28" s="56"/>
      <x:c r="E28" s="56"/>
      <x:c r="F28" s="64"/>
      <x:c r="G28" s="56"/>
      <x:c r="H28" s="56"/>
      <x:c r="I28" s="65" t="str">
        <x:f>IF(OR(A28="",B28=""),"",COUNTIFS($A$5:$A$204,A28,$B$5:$B$204,B28))</x:f>
      </x:c>
      <x:c r="J28" s="65" t="str">
        <x:f>IF(I28="","",ROUND(I28*C28,0))</x:f>
      </x:c>
    </x:row>
    <x:row r="29">
      <x:c r="A29" s="56"/>
      <x:c r="B29" s="56"/>
      <x:c r="C29" s="63" t="str">
        <x:f>IF(OR(A29="",B29=""),"",IFERROR(SUMIFS('05_인원분류'!$C$5:$C$204,'05_인원분류'!$A$5:$A$204,A29,'05_인원분류'!$B$5:$B$204,B29),""))</x:f>
      </x:c>
      <x:c r="D29" s="56"/>
      <x:c r="E29" s="56"/>
      <x:c r="F29" s="64"/>
      <x:c r="G29" s="56"/>
      <x:c r="H29" s="56"/>
      <x:c r="I29" s="65" t="str">
        <x:f>IF(OR(A29="",B29=""),"",COUNTIFS($A$5:$A$204,A29,$B$5:$B$204,B29))</x:f>
      </x:c>
      <x:c r="J29" s="65" t="str">
        <x:f>IF(I29="","",ROUND(I29*C29,0))</x:f>
      </x:c>
    </x:row>
    <x:row r="30">
      <x:c r="A30" s="56"/>
      <x:c r="B30" s="56"/>
      <x:c r="C30" s="63" t="str">
        <x:f>IF(OR(A30="",B30=""),"",IFERROR(SUMIFS('05_인원분류'!$C$5:$C$204,'05_인원분류'!$A$5:$A$204,A30,'05_인원분류'!$B$5:$B$204,B30),""))</x:f>
      </x:c>
      <x:c r="D30" s="56"/>
      <x:c r="E30" s="56"/>
      <x:c r="F30" s="64"/>
      <x:c r="G30" s="56"/>
      <x:c r="H30" s="56"/>
      <x:c r="I30" s="65" t="str">
        <x:f>IF(OR(A30="",B30=""),"",COUNTIFS($A$5:$A$204,A30,$B$5:$B$204,B30))</x:f>
      </x:c>
      <x:c r="J30" s="65" t="str">
        <x:f>IF(I30="","",ROUND(I30*C30,0))</x:f>
      </x:c>
    </x:row>
    <x:row r="31">
      <x:c r="A31" s="56"/>
      <x:c r="B31" s="56"/>
      <x:c r="C31" s="63" t="str">
        <x:f>IF(OR(A31="",B31=""),"",IFERROR(SUMIFS('05_인원분류'!$C$5:$C$204,'05_인원분류'!$A$5:$A$204,A31,'05_인원분류'!$B$5:$B$204,B31),""))</x:f>
      </x:c>
      <x:c r="D31" s="56"/>
      <x:c r="E31" s="56"/>
      <x:c r="F31" s="64"/>
      <x:c r="G31" s="56"/>
      <x:c r="H31" s="56"/>
      <x:c r="I31" s="65" t="str">
        <x:f>IF(OR(A31="",B31=""),"",COUNTIFS($A$5:$A$204,A31,$B$5:$B$204,B31))</x:f>
      </x:c>
      <x:c r="J31" s="65" t="str">
        <x:f>IF(I31="","",ROUND(I31*C31,0))</x:f>
      </x:c>
    </x:row>
    <x:row r="32">
      <x:c r="A32" s="56"/>
      <x:c r="B32" s="56"/>
      <x:c r="C32" s="63" t="str">
        <x:f>IF(OR(A32="",B32=""),"",IFERROR(SUMIFS('05_인원분류'!$C$5:$C$204,'05_인원분류'!$A$5:$A$204,A32,'05_인원분류'!$B$5:$B$204,B32),""))</x:f>
      </x:c>
      <x:c r="D32" s="56"/>
      <x:c r="E32" s="56"/>
      <x:c r="F32" s="64"/>
      <x:c r="G32" s="56"/>
      <x:c r="H32" s="56"/>
      <x:c r="I32" s="65" t="str">
        <x:f>IF(OR(A32="",B32=""),"",COUNTIFS($A$5:$A$204,A32,$B$5:$B$204,B32))</x:f>
      </x:c>
      <x:c r="J32" s="65" t="str">
        <x:f>IF(I32="","",ROUND(I32*C32,0))</x:f>
      </x:c>
    </x:row>
    <x:row r="33">
      <x:c r="A33" s="56"/>
      <x:c r="B33" s="56"/>
      <x:c r="C33" s="63" t="str">
        <x:f>IF(OR(A33="",B33=""),"",IFERROR(SUMIFS('05_인원분류'!$C$5:$C$204,'05_인원분류'!$A$5:$A$204,A33,'05_인원분류'!$B$5:$B$204,B33),""))</x:f>
      </x:c>
      <x:c r="D33" s="56"/>
      <x:c r="E33" s="56"/>
      <x:c r="F33" s="64"/>
      <x:c r="G33" s="56"/>
      <x:c r="H33" s="56"/>
      <x:c r="I33" s="65" t="str">
        <x:f>IF(OR(A33="",B33=""),"",COUNTIFS($A$5:$A$204,A33,$B$5:$B$204,B33))</x:f>
      </x:c>
      <x:c r="J33" s="65" t="str">
        <x:f>IF(I33="","",ROUND(I33*C33,0))</x:f>
      </x:c>
    </x:row>
    <x:row r="34">
      <x:c r="A34" s="56"/>
      <x:c r="B34" s="56"/>
      <x:c r="C34" s="63" t="str">
        <x:f>IF(OR(A34="",B34=""),"",IFERROR(SUMIFS('05_인원분류'!$C$5:$C$204,'05_인원분류'!$A$5:$A$204,A34,'05_인원분류'!$B$5:$B$204,B34),""))</x:f>
      </x:c>
      <x:c r="D34" s="56"/>
      <x:c r="E34" s="56"/>
      <x:c r="F34" s="64"/>
      <x:c r="G34" s="56"/>
      <x:c r="H34" s="56"/>
      <x:c r="I34" s="65" t="str">
        <x:f>IF(OR(A34="",B34=""),"",COUNTIFS($A$5:$A$204,A34,$B$5:$B$204,B34))</x:f>
      </x:c>
      <x:c r="J34" s="65" t="str">
        <x:f>IF(I34="","",ROUND(I34*C34,0))</x:f>
      </x:c>
    </x:row>
    <x:row r="35">
      <x:c r="A35" s="56"/>
      <x:c r="B35" s="56"/>
      <x:c r="C35" s="63" t="str">
        <x:f>IF(OR(A35="",B35=""),"",IFERROR(SUMIFS('05_인원분류'!$C$5:$C$204,'05_인원분류'!$A$5:$A$204,A35,'05_인원분류'!$B$5:$B$204,B35),""))</x:f>
      </x:c>
      <x:c r="D35" s="56"/>
      <x:c r="E35" s="56"/>
      <x:c r="F35" s="64"/>
      <x:c r="G35" s="56"/>
      <x:c r="H35" s="56"/>
      <x:c r="I35" s="65" t="str">
        <x:f>IF(OR(A35="",B35=""),"",COUNTIFS($A$5:$A$204,A35,$B$5:$B$204,B35))</x:f>
      </x:c>
      <x:c r="J35" s="65" t="str">
        <x:f>IF(I35="","",ROUND(I35*C35,0))</x:f>
      </x:c>
    </x:row>
    <x:row r="36">
      <x:c r="A36" s="56"/>
      <x:c r="B36" s="56"/>
      <x:c r="C36" s="63" t="str">
        <x:f>IF(OR(A36="",B36=""),"",IFERROR(SUMIFS('05_인원분류'!$C$5:$C$204,'05_인원분류'!$A$5:$A$204,A36,'05_인원분류'!$B$5:$B$204,B36),""))</x:f>
      </x:c>
      <x:c r="D36" s="56"/>
      <x:c r="E36" s="56"/>
      <x:c r="F36" s="64"/>
      <x:c r="G36" s="56"/>
      <x:c r="H36" s="56"/>
      <x:c r="I36" s="65" t="str">
        <x:f>IF(OR(A36="",B36=""),"",COUNTIFS($A$5:$A$204,A36,$B$5:$B$204,B36))</x:f>
      </x:c>
      <x:c r="J36" s="65" t="str">
        <x:f>IF(I36="","",ROUND(I36*C36,0))</x:f>
      </x:c>
    </x:row>
    <x:row r="37">
      <x:c r="A37" s="56"/>
      <x:c r="B37" s="56"/>
      <x:c r="C37" s="63" t="str">
        <x:f>IF(OR(A37="",B37=""),"",IFERROR(SUMIFS('05_인원분류'!$C$5:$C$204,'05_인원분류'!$A$5:$A$204,A37,'05_인원분류'!$B$5:$B$204,B37),""))</x:f>
      </x:c>
      <x:c r="D37" s="56"/>
      <x:c r="E37" s="56"/>
      <x:c r="F37" s="64"/>
      <x:c r="G37" s="56"/>
      <x:c r="H37" s="56"/>
      <x:c r="I37" s="65" t="str">
        <x:f>IF(OR(A37="",B37=""),"",COUNTIFS($A$5:$A$204,A37,$B$5:$B$204,B37))</x:f>
      </x:c>
      <x:c r="J37" s="65" t="str">
        <x:f>IF(I37="","",ROUND(I37*C37,0))</x:f>
      </x:c>
    </x:row>
    <x:row r="38">
      <x:c r="A38" s="56"/>
      <x:c r="B38" s="56"/>
      <x:c r="C38" s="63" t="str">
        <x:f>IF(OR(A38="",B38=""),"",IFERROR(SUMIFS('05_인원분류'!$C$5:$C$204,'05_인원분류'!$A$5:$A$204,A38,'05_인원분류'!$B$5:$B$204,B38),""))</x:f>
      </x:c>
      <x:c r="D38" s="56"/>
      <x:c r="E38" s="56"/>
      <x:c r="F38" s="64"/>
      <x:c r="G38" s="56"/>
      <x:c r="H38" s="56"/>
      <x:c r="I38" s="65" t="str">
        <x:f>IF(OR(A38="",B38=""),"",COUNTIFS($A$5:$A$204,A38,$B$5:$B$204,B38))</x:f>
      </x:c>
      <x:c r="J38" s="65" t="str">
        <x:f>IF(I38="","",ROUND(I38*C38,0))</x:f>
      </x:c>
    </x:row>
    <x:row r="39">
      <x:c r="A39" s="56"/>
      <x:c r="B39" s="56"/>
      <x:c r="C39" s="63" t="str">
        <x:f>IF(OR(A39="",B39=""),"",IFERROR(SUMIFS('05_인원분류'!$C$5:$C$204,'05_인원분류'!$A$5:$A$204,A39,'05_인원분류'!$B$5:$B$204,B39),""))</x:f>
      </x:c>
      <x:c r="D39" s="56"/>
      <x:c r="E39" s="56"/>
      <x:c r="F39" s="64"/>
      <x:c r="G39" s="56"/>
      <x:c r="H39" s="56"/>
      <x:c r="I39" s="65" t="str">
        <x:f>IF(OR(A39="",B39=""),"",COUNTIFS($A$5:$A$204,A39,$B$5:$B$204,B39))</x:f>
      </x:c>
      <x:c r="J39" s="65" t="str">
        <x:f>IF(I39="","",ROUND(I39*C39,0))</x:f>
      </x:c>
    </x:row>
    <x:row r="40">
      <x:c r="A40" s="56"/>
      <x:c r="B40" s="56"/>
      <x:c r="C40" s="63" t="str">
        <x:f>IF(OR(A40="",B40=""),"",IFERROR(SUMIFS('05_인원분류'!$C$5:$C$204,'05_인원분류'!$A$5:$A$204,A40,'05_인원분류'!$B$5:$B$204,B40),""))</x:f>
      </x:c>
      <x:c r="D40" s="56"/>
      <x:c r="E40" s="56"/>
      <x:c r="F40" s="64"/>
      <x:c r="G40" s="56"/>
      <x:c r="H40" s="56"/>
      <x:c r="I40" s="65" t="str">
        <x:f>IF(OR(A40="",B40=""),"",COUNTIFS($A$5:$A$204,A40,$B$5:$B$204,B40))</x:f>
      </x:c>
      <x:c r="J40" s="65" t="str">
        <x:f>IF(I40="","",ROUND(I40*C40,0))</x:f>
      </x:c>
    </x:row>
    <x:row r="41">
      <x:c r="A41" s="56"/>
      <x:c r="B41" s="56"/>
      <x:c r="C41" s="63" t="str">
        <x:f>IF(OR(A41="",B41=""),"",IFERROR(SUMIFS('05_인원분류'!$C$5:$C$204,'05_인원분류'!$A$5:$A$204,A41,'05_인원분류'!$B$5:$B$204,B41),""))</x:f>
      </x:c>
      <x:c r="D41" s="56"/>
      <x:c r="E41" s="56"/>
      <x:c r="F41" s="64"/>
      <x:c r="G41" s="56"/>
      <x:c r="H41" s="56"/>
      <x:c r="I41" s="65" t="str">
        <x:f>IF(OR(A41="",B41=""),"",COUNTIFS($A$5:$A$204,A41,$B$5:$B$204,B41))</x:f>
      </x:c>
      <x:c r="J41" s="65" t="str">
        <x:f>IF(I41="","",ROUND(I41*C41,0))</x:f>
      </x:c>
    </x:row>
    <x:row r="42">
      <x:c r="A42" s="56"/>
      <x:c r="B42" s="56"/>
      <x:c r="C42" s="63" t="str">
        <x:f>IF(OR(A42="",B42=""),"",IFERROR(SUMIFS('05_인원분류'!$C$5:$C$204,'05_인원분류'!$A$5:$A$204,A42,'05_인원분류'!$B$5:$B$204,B42),""))</x:f>
      </x:c>
      <x:c r="D42" s="56"/>
      <x:c r="E42" s="56"/>
      <x:c r="F42" s="64"/>
      <x:c r="G42" s="56"/>
      <x:c r="H42" s="56"/>
      <x:c r="I42" s="65" t="str">
        <x:f>IF(OR(A42="",B42=""),"",COUNTIFS($A$5:$A$204,A42,$B$5:$B$204,B42))</x:f>
      </x:c>
      <x:c r="J42" s="65" t="str">
        <x:f>IF(I42="","",ROUND(I42*C42,0))</x:f>
      </x:c>
    </x:row>
    <x:row r="43">
      <x:c r="A43" s="56"/>
      <x:c r="B43" s="56"/>
      <x:c r="C43" s="63" t="str">
        <x:f>IF(OR(A43="",B43=""),"",IFERROR(SUMIFS('05_인원분류'!$C$5:$C$204,'05_인원분류'!$A$5:$A$204,A43,'05_인원분류'!$B$5:$B$204,B43),""))</x:f>
      </x:c>
      <x:c r="D43" s="56"/>
      <x:c r="E43" s="56"/>
      <x:c r="F43" s="64"/>
      <x:c r="G43" s="56"/>
      <x:c r="H43" s="56"/>
      <x:c r="I43" s="65" t="str">
        <x:f>IF(OR(A43="",B43=""),"",COUNTIFS($A$5:$A$204,A43,$B$5:$B$204,B43))</x:f>
      </x:c>
      <x:c r="J43" s="65" t="str">
        <x:f>IF(I43="","",ROUND(I43*C43,0))</x:f>
      </x:c>
    </x:row>
    <x:row r="44">
      <x:c r="A44" s="56"/>
      <x:c r="B44" s="56"/>
      <x:c r="C44" s="63" t="str">
        <x:f>IF(OR(A44="",B44=""),"",IFERROR(SUMIFS('05_인원분류'!$C$5:$C$204,'05_인원분류'!$A$5:$A$204,A44,'05_인원분류'!$B$5:$B$204,B44),""))</x:f>
      </x:c>
      <x:c r="D44" s="56"/>
      <x:c r="E44" s="56"/>
      <x:c r="F44" s="64"/>
      <x:c r="G44" s="56"/>
      <x:c r="H44" s="56"/>
      <x:c r="I44" s="65" t="str">
        <x:f>IF(OR(A44="",B44=""),"",COUNTIFS($A$5:$A$204,A44,$B$5:$B$204,B44))</x:f>
      </x:c>
      <x:c r="J44" s="65" t="str">
        <x:f>IF(I44="","",ROUND(I44*C44,0))</x:f>
      </x:c>
    </x:row>
    <x:row r="45">
      <x:c r="A45" s="56"/>
      <x:c r="B45" s="56"/>
      <x:c r="C45" s="63" t="str">
        <x:f>IF(OR(A45="",B45=""),"",IFERROR(SUMIFS('05_인원분류'!$C$5:$C$204,'05_인원분류'!$A$5:$A$204,A45,'05_인원분류'!$B$5:$B$204,B45),""))</x:f>
      </x:c>
      <x:c r="D45" s="56"/>
      <x:c r="E45" s="56"/>
      <x:c r="F45" s="64"/>
      <x:c r="G45" s="56"/>
      <x:c r="H45" s="56"/>
      <x:c r="I45" s="65" t="str">
        <x:f>IF(OR(A45="",B45=""),"",COUNTIFS($A$5:$A$204,A45,$B$5:$B$204,B45))</x:f>
      </x:c>
      <x:c r="J45" s="65" t="str">
        <x:f>IF(I45="","",ROUND(I45*C45,0))</x:f>
      </x:c>
    </x:row>
    <x:row r="46">
      <x:c r="A46" s="56"/>
      <x:c r="B46" s="56"/>
      <x:c r="C46" s="63" t="str">
        <x:f>IF(OR(A46="",B46=""),"",IFERROR(SUMIFS('05_인원분류'!$C$5:$C$204,'05_인원분류'!$A$5:$A$204,A46,'05_인원분류'!$B$5:$B$204,B46),""))</x:f>
      </x:c>
      <x:c r="D46" s="56"/>
      <x:c r="E46" s="56"/>
      <x:c r="F46" s="64"/>
      <x:c r="G46" s="56"/>
      <x:c r="H46" s="56"/>
      <x:c r="I46" s="65" t="str">
        <x:f>IF(OR(A46="",B46=""),"",COUNTIFS($A$5:$A$204,A46,$B$5:$B$204,B46))</x:f>
      </x:c>
      <x:c r="J46" s="65" t="str">
        <x:f>IF(I46="","",ROUND(I46*C46,0))</x:f>
      </x:c>
    </x:row>
    <x:row r="47">
      <x:c r="A47" s="56"/>
      <x:c r="B47" s="56"/>
      <x:c r="C47" s="63" t="str">
        <x:f>IF(OR(A47="",B47=""),"",IFERROR(SUMIFS('05_인원분류'!$C$5:$C$204,'05_인원분류'!$A$5:$A$204,A47,'05_인원분류'!$B$5:$B$204,B47),""))</x:f>
      </x:c>
      <x:c r="D47" s="56"/>
      <x:c r="E47" s="56"/>
      <x:c r="F47" s="64"/>
      <x:c r="G47" s="56"/>
      <x:c r="H47" s="56"/>
      <x:c r="I47" s="65" t="str">
        <x:f>IF(OR(A47="",B47=""),"",COUNTIFS($A$5:$A$204,A47,$B$5:$B$204,B47))</x:f>
      </x:c>
      <x:c r="J47" s="65" t="str">
        <x:f>IF(I47="","",ROUND(I47*C47,0))</x:f>
      </x:c>
    </x:row>
    <x:row r="48">
      <x:c r="A48" s="56"/>
      <x:c r="B48" s="56"/>
      <x:c r="C48" s="63" t="str">
        <x:f>IF(OR(A48="",B48=""),"",IFERROR(SUMIFS('05_인원분류'!$C$5:$C$204,'05_인원분류'!$A$5:$A$204,A48,'05_인원분류'!$B$5:$B$204,B48),""))</x:f>
      </x:c>
      <x:c r="D48" s="56"/>
      <x:c r="E48" s="56"/>
      <x:c r="F48" s="64"/>
      <x:c r="G48" s="56"/>
      <x:c r="H48" s="56"/>
      <x:c r="I48" s="65" t="str">
        <x:f>IF(OR(A48="",B48=""),"",COUNTIFS($A$5:$A$204,A48,$B$5:$B$204,B48))</x:f>
      </x:c>
      <x:c r="J48" s="65" t="str">
        <x:f>IF(I48="","",ROUND(I48*C48,0))</x:f>
      </x:c>
    </x:row>
    <x:row r="49">
      <x:c r="A49" s="56"/>
      <x:c r="B49" s="56"/>
      <x:c r="C49" s="63" t="str">
        <x:f>IF(OR(A49="",B49=""),"",IFERROR(SUMIFS('05_인원분류'!$C$5:$C$204,'05_인원분류'!$A$5:$A$204,A49,'05_인원분류'!$B$5:$B$204,B49),""))</x:f>
      </x:c>
      <x:c r="D49" s="56"/>
      <x:c r="E49" s="56"/>
      <x:c r="F49" s="64"/>
      <x:c r="G49" s="56"/>
      <x:c r="H49" s="56"/>
      <x:c r="I49" s="65" t="str">
        <x:f>IF(OR(A49="",B49=""),"",COUNTIFS($A$5:$A$204,A49,$B$5:$B$204,B49))</x:f>
      </x:c>
      <x:c r="J49" s="65" t="str">
        <x:f>IF(I49="","",ROUND(I49*C49,0))</x:f>
      </x:c>
    </x:row>
    <x:row r="50">
      <x:c r="A50" s="56"/>
      <x:c r="B50" s="56"/>
      <x:c r="C50" s="63" t="str">
        <x:f>IF(OR(A50="",B50=""),"",IFERROR(SUMIFS('05_인원분류'!$C$5:$C$204,'05_인원분류'!$A$5:$A$204,A50,'05_인원분류'!$B$5:$B$204,B50),""))</x:f>
      </x:c>
      <x:c r="D50" s="56"/>
      <x:c r="E50" s="56"/>
      <x:c r="F50" s="64"/>
      <x:c r="G50" s="56"/>
      <x:c r="H50" s="56"/>
      <x:c r="I50" s="65" t="str">
        <x:f>IF(OR(A50="",B50=""),"",COUNTIFS($A$5:$A$204,A50,$B$5:$B$204,B50))</x:f>
      </x:c>
      <x:c r="J50" s="65" t="str">
        <x:f>IF(I50="","",ROUND(I50*C50,0))</x:f>
      </x:c>
    </x:row>
    <x:row r="51">
      <x:c r="A51" s="56"/>
      <x:c r="B51" s="56"/>
      <x:c r="C51" s="63" t="str">
        <x:f>IF(OR(A51="",B51=""),"",IFERROR(SUMIFS('05_인원분류'!$C$5:$C$204,'05_인원분류'!$A$5:$A$204,A51,'05_인원분류'!$B$5:$B$204,B51),""))</x:f>
      </x:c>
      <x:c r="D51" s="56"/>
      <x:c r="E51" s="56"/>
      <x:c r="F51" s="64"/>
      <x:c r="G51" s="56"/>
      <x:c r="H51" s="56"/>
      <x:c r="I51" s="65" t="str">
        <x:f>IF(OR(A51="",B51=""),"",COUNTIFS($A$5:$A$204,A51,$B$5:$B$204,B51))</x:f>
      </x:c>
      <x:c r="J51" s="65" t="str">
        <x:f>IF(I51="","",ROUND(I51*C51,0))</x:f>
      </x:c>
    </x:row>
    <x:row r="52">
      <x:c r="A52" s="56"/>
      <x:c r="B52" s="56"/>
      <x:c r="C52" s="63" t="str">
        <x:f>IF(OR(A52="",B52=""),"",IFERROR(SUMIFS('05_인원분류'!$C$5:$C$204,'05_인원분류'!$A$5:$A$204,A52,'05_인원분류'!$B$5:$B$204,B52),""))</x:f>
      </x:c>
      <x:c r="D52" s="56"/>
      <x:c r="E52" s="56"/>
      <x:c r="F52" s="64"/>
      <x:c r="G52" s="56"/>
      <x:c r="H52" s="56"/>
      <x:c r="I52" s="65" t="str">
        <x:f>IF(OR(A52="",B52=""),"",COUNTIFS($A$5:$A$204,A52,$B$5:$B$204,B52))</x:f>
      </x:c>
      <x:c r="J52" s="65" t="str">
        <x:f>IF(I52="","",ROUND(I52*C52,0))</x:f>
      </x:c>
    </x:row>
    <x:row r="53">
      <x:c r="A53" s="56"/>
      <x:c r="B53" s="56"/>
      <x:c r="C53" s="63" t="str">
        <x:f>IF(OR(A53="",B53=""),"",IFERROR(SUMIFS('05_인원분류'!$C$5:$C$204,'05_인원분류'!$A$5:$A$204,A53,'05_인원분류'!$B$5:$B$204,B53),""))</x:f>
      </x:c>
      <x:c r="D53" s="56"/>
      <x:c r="E53" s="56"/>
      <x:c r="F53" s="64"/>
      <x:c r="G53" s="56"/>
      <x:c r="H53" s="56"/>
      <x:c r="I53" s="65" t="str">
        <x:f>IF(OR(A53="",B53=""),"",COUNTIFS($A$5:$A$204,A53,$B$5:$B$204,B53))</x:f>
      </x:c>
      <x:c r="J53" s="65" t="str">
        <x:f>IF(I53="","",ROUND(I53*C53,0))</x:f>
      </x:c>
    </x:row>
    <x:row r="54">
      <x:c r="A54" s="56"/>
      <x:c r="B54" s="56"/>
      <x:c r="C54" s="63" t="str">
        <x:f>IF(OR(A54="",B54=""),"",IFERROR(SUMIFS('05_인원분류'!$C$5:$C$204,'05_인원분류'!$A$5:$A$204,A54,'05_인원분류'!$B$5:$B$204,B54),""))</x:f>
      </x:c>
      <x:c r="D54" s="56"/>
      <x:c r="E54" s="56"/>
      <x:c r="F54" s="64"/>
      <x:c r="G54" s="56"/>
      <x:c r="H54" s="56"/>
      <x:c r="I54" s="65" t="str">
        <x:f>IF(OR(A54="",B54=""),"",COUNTIFS($A$5:$A$204,A54,$B$5:$B$204,B54))</x:f>
      </x:c>
      <x:c r="J54" s="65" t="str">
        <x:f>IF(I54="","",ROUND(I54*C54,0))</x:f>
      </x:c>
    </x:row>
    <x:row r="55">
      <x:c r="A55" s="56"/>
      <x:c r="B55" s="56"/>
      <x:c r="C55" s="63" t="str">
        <x:f>IF(OR(A55="",B55=""),"",IFERROR(SUMIFS('05_인원분류'!$C$5:$C$204,'05_인원분류'!$A$5:$A$204,A55,'05_인원분류'!$B$5:$B$204,B55),""))</x:f>
      </x:c>
      <x:c r="D55" s="56"/>
      <x:c r="E55" s="56"/>
      <x:c r="F55" s="64"/>
      <x:c r="G55" s="56"/>
      <x:c r="H55" s="56"/>
      <x:c r="I55" s="65" t="str">
        <x:f>IF(OR(A55="",B55=""),"",COUNTIFS($A$5:$A$204,A55,$B$5:$B$204,B55))</x:f>
      </x:c>
      <x:c r="J55" s="65" t="str">
        <x:f>IF(I55="","",ROUND(I55*C55,0))</x:f>
      </x:c>
    </x:row>
    <x:row r="56">
      <x:c r="A56" s="56"/>
      <x:c r="B56" s="56"/>
      <x:c r="C56" s="63" t="str">
        <x:f>IF(OR(A56="",B56=""),"",IFERROR(SUMIFS('05_인원분류'!$C$5:$C$204,'05_인원분류'!$A$5:$A$204,A56,'05_인원분류'!$B$5:$B$204,B56),""))</x:f>
      </x:c>
      <x:c r="D56" s="56"/>
      <x:c r="E56" s="56"/>
      <x:c r="F56" s="64"/>
      <x:c r="G56" s="56"/>
      <x:c r="H56" s="56"/>
      <x:c r="I56" s="65" t="str">
        <x:f>IF(OR(A56="",B56=""),"",COUNTIFS($A$5:$A$204,A56,$B$5:$B$204,B56))</x:f>
      </x:c>
      <x:c r="J56" s="65" t="str">
        <x:f>IF(I56="","",ROUND(I56*C56,0))</x:f>
      </x:c>
    </x:row>
    <x:row r="57">
      <x:c r="A57" s="56"/>
      <x:c r="B57" s="56"/>
      <x:c r="C57" s="63" t="str">
        <x:f>IF(OR(A57="",B57=""),"",IFERROR(SUMIFS('05_인원분류'!$C$5:$C$204,'05_인원분류'!$A$5:$A$204,A57,'05_인원분류'!$B$5:$B$204,B57),""))</x:f>
      </x:c>
      <x:c r="D57" s="56"/>
      <x:c r="E57" s="56"/>
      <x:c r="F57" s="64"/>
      <x:c r="G57" s="56"/>
      <x:c r="H57" s="56"/>
      <x:c r="I57" s="65" t="str">
        <x:f>IF(OR(A57="",B57=""),"",COUNTIFS($A$5:$A$204,A57,$B$5:$B$204,B57))</x:f>
      </x:c>
      <x:c r="J57" s="65" t="str">
        <x:f>IF(I57="","",ROUND(I57*C57,0))</x:f>
      </x:c>
    </x:row>
    <x:row r="58">
      <x:c r="A58" s="56"/>
      <x:c r="B58" s="56"/>
      <x:c r="C58" s="63" t="str">
        <x:f>IF(OR(A58="",B58=""),"",IFERROR(SUMIFS('05_인원분류'!$C$5:$C$204,'05_인원분류'!$A$5:$A$204,A58,'05_인원분류'!$B$5:$B$204,B58),""))</x:f>
      </x:c>
      <x:c r="D58" s="56"/>
      <x:c r="E58" s="56"/>
      <x:c r="F58" s="64"/>
      <x:c r="G58" s="56"/>
      <x:c r="H58" s="56"/>
      <x:c r="I58" s="65" t="str">
        <x:f>IF(OR(A58="",B58=""),"",COUNTIFS($A$5:$A$204,A58,$B$5:$B$204,B58))</x:f>
      </x:c>
      <x:c r="J58" s="65" t="str">
        <x:f>IF(I58="","",ROUND(I58*C58,0))</x:f>
      </x:c>
    </x:row>
    <x:row r="59">
      <x:c r="A59" s="56"/>
      <x:c r="B59" s="56"/>
      <x:c r="C59" s="63" t="str">
        <x:f>IF(OR(A59="",B59=""),"",IFERROR(SUMIFS('05_인원분류'!$C$5:$C$204,'05_인원분류'!$A$5:$A$204,A59,'05_인원분류'!$B$5:$B$204,B59),""))</x:f>
      </x:c>
      <x:c r="D59" s="56"/>
      <x:c r="E59" s="56"/>
      <x:c r="F59" s="64"/>
      <x:c r="G59" s="56"/>
      <x:c r="H59" s="56"/>
      <x:c r="I59" s="65" t="str">
        <x:f>IF(OR(A59="",B59=""),"",COUNTIFS($A$5:$A$204,A59,$B$5:$B$204,B59))</x:f>
      </x:c>
      <x:c r="J59" s="65" t="str">
        <x:f>IF(I59="","",ROUND(I59*C59,0))</x:f>
      </x:c>
    </x:row>
    <x:row r="60">
      <x:c r="A60" s="56"/>
      <x:c r="B60" s="56"/>
      <x:c r="C60" s="63" t="str">
        <x:f>IF(OR(A60="",B60=""),"",IFERROR(SUMIFS('05_인원분류'!$C$5:$C$204,'05_인원분류'!$A$5:$A$204,A60,'05_인원분류'!$B$5:$B$204,B60),""))</x:f>
      </x:c>
      <x:c r="D60" s="56"/>
      <x:c r="E60" s="56"/>
      <x:c r="F60" s="64"/>
      <x:c r="G60" s="56"/>
      <x:c r="H60" s="56"/>
      <x:c r="I60" s="65" t="str">
        <x:f>IF(OR(A60="",B60=""),"",COUNTIFS($A$5:$A$204,A60,$B$5:$B$204,B60))</x:f>
      </x:c>
      <x:c r="J60" s="65" t="str">
        <x:f>IF(I60="","",ROUND(I60*C60,0))</x:f>
      </x:c>
    </x:row>
    <x:row r="61">
      <x:c r="A61" s="56"/>
      <x:c r="B61" s="56"/>
      <x:c r="C61" s="63" t="str">
        <x:f>IF(OR(A61="",B61=""),"",IFERROR(SUMIFS('05_인원분류'!$C$5:$C$204,'05_인원분류'!$A$5:$A$204,A61,'05_인원분류'!$B$5:$B$204,B61),""))</x:f>
      </x:c>
      <x:c r="D61" s="56"/>
      <x:c r="E61" s="56"/>
      <x:c r="F61" s="64"/>
      <x:c r="G61" s="56"/>
      <x:c r="H61" s="56"/>
      <x:c r="I61" s="65" t="str">
        <x:f>IF(OR(A61="",B61=""),"",COUNTIFS($A$5:$A$204,A61,$B$5:$B$204,B61))</x:f>
      </x:c>
      <x:c r="J61" s="65" t="str">
        <x:f>IF(I61="","",ROUND(I61*C61,0))</x:f>
      </x:c>
    </x:row>
    <x:row r="62">
      <x:c r="A62" s="56"/>
      <x:c r="B62" s="56"/>
      <x:c r="C62" s="63" t="str">
        <x:f>IF(OR(A62="",B62=""),"",IFERROR(SUMIFS('05_인원분류'!$C$5:$C$204,'05_인원분류'!$A$5:$A$204,A62,'05_인원분류'!$B$5:$B$204,B62),""))</x:f>
      </x:c>
      <x:c r="D62" s="56"/>
      <x:c r="E62" s="56"/>
      <x:c r="F62" s="64"/>
      <x:c r="G62" s="56"/>
      <x:c r="H62" s="56"/>
      <x:c r="I62" s="65" t="str">
        <x:f>IF(OR(A62="",B62=""),"",COUNTIFS($A$5:$A$204,A62,$B$5:$B$204,B62))</x:f>
      </x:c>
      <x:c r="J62" s="65" t="str">
        <x:f>IF(I62="","",ROUND(I62*C62,0))</x:f>
      </x:c>
    </x:row>
    <x:row r="63">
      <x:c r="A63" s="56"/>
      <x:c r="B63" s="56"/>
      <x:c r="C63" s="63" t="str">
        <x:f>IF(OR(A63="",B63=""),"",IFERROR(SUMIFS('05_인원분류'!$C$5:$C$204,'05_인원분류'!$A$5:$A$204,A63,'05_인원분류'!$B$5:$B$204,B63),""))</x:f>
      </x:c>
      <x:c r="D63" s="56"/>
      <x:c r="E63" s="56"/>
      <x:c r="F63" s="64"/>
      <x:c r="G63" s="56"/>
      <x:c r="H63" s="56"/>
      <x:c r="I63" s="65" t="str">
        <x:f>IF(OR(A63="",B63=""),"",COUNTIFS($A$5:$A$204,A63,$B$5:$B$204,B63))</x:f>
      </x:c>
      <x:c r="J63" s="65" t="str">
        <x:f>IF(I63="","",ROUND(I63*C63,0))</x:f>
      </x:c>
    </x:row>
    <x:row r="64">
      <x:c r="A64" s="56"/>
      <x:c r="B64" s="56"/>
      <x:c r="C64" s="63" t="str">
        <x:f>IF(OR(A64="",B64=""),"",IFERROR(SUMIFS('05_인원분류'!$C$5:$C$204,'05_인원분류'!$A$5:$A$204,A64,'05_인원분류'!$B$5:$B$204,B64),""))</x:f>
      </x:c>
      <x:c r="D64" s="56"/>
      <x:c r="E64" s="56"/>
      <x:c r="F64" s="64"/>
      <x:c r="G64" s="56"/>
      <x:c r="H64" s="56"/>
      <x:c r="I64" s="65" t="str">
        <x:f>IF(OR(A64="",B64=""),"",COUNTIFS($A$5:$A$204,A64,$B$5:$B$204,B64))</x:f>
      </x:c>
      <x:c r="J64" s="65" t="str">
        <x:f>IF(I64="","",ROUND(I64*C64,0))</x:f>
      </x:c>
    </x:row>
    <x:row r="65">
      <x:c r="A65" s="56"/>
      <x:c r="B65" s="56"/>
      <x:c r="C65" s="63" t="str">
        <x:f>IF(OR(A65="",B65=""),"",IFERROR(SUMIFS('05_인원분류'!$C$5:$C$204,'05_인원분류'!$A$5:$A$204,A65,'05_인원분류'!$B$5:$B$204,B65),""))</x:f>
      </x:c>
      <x:c r="D65" s="56"/>
      <x:c r="E65" s="56"/>
      <x:c r="F65" s="64"/>
      <x:c r="G65" s="56"/>
      <x:c r="H65" s="56"/>
      <x:c r="I65" s="65" t="str">
        <x:f>IF(OR(A65="",B65=""),"",COUNTIFS($A$5:$A$204,A65,$B$5:$B$204,B65))</x:f>
      </x:c>
      <x:c r="J65" s="65" t="str">
        <x:f>IF(I65="","",ROUND(I65*C65,0))</x:f>
      </x:c>
    </x:row>
    <x:row r="66">
      <x:c r="A66" s="56"/>
      <x:c r="B66" s="56"/>
      <x:c r="C66" s="63" t="str">
        <x:f>IF(OR(A66="",B66=""),"",IFERROR(SUMIFS('05_인원분류'!$C$5:$C$204,'05_인원분류'!$A$5:$A$204,A66,'05_인원분류'!$B$5:$B$204,B66),""))</x:f>
      </x:c>
      <x:c r="D66" s="56"/>
      <x:c r="E66" s="56"/>
      <x:c r="F66" s="64"/>
      <x:c r="G66" s="56"/>
      <x:c r="H66" s="56"/>
      <x:c r="I66" s="65" t="str">
        <x:f>IF(OR(A66="",B66=""),"",COUNTIFS($A$5:$A$204,A66,$B$5:$B$204,B66))</x:f>
      </x:c>
      <x:c r="J66" s="65" t="str">
        <x:f>IF(I66="","",ROUND(I66*C66,0))</x:f>
      </x:c>
    </x:row>
    <x:row r="67">
      <x:c r="A67" s="56"/>
      <x:c r="B67" s="56"/>
      <x:c r="C67" s="63" t="str">
        <x:f>IF(OR(A67="",B67=""),"",IFERROR(SUMIFS('05_인원분류'!$C$5:$C$204,'05_인원분류'!$A$5:$A$204,A67,'05_인원분류'!$B$5:$B$204,B67),""))</x:f>
      </x:c>
      <x:c r="D67" s="56"/>
      <x:c r="E67" s="56"/>
      <x:c r="F67" s="64"/>
      <x:c r="G67" s="56"/>
      <x:c r="H67" s="56"/>
      <x:c r="I67" s="65" t="str">
        <x:f>IF(OR(A67="",B67=""),"",COUNTIFS($A$5:$A$204,A67,$B$5:$B$204,B67))</x:f>
      </x:c>
      <x:c r="J67" s="65" t="str">
        <x:f>IF(I67="","",ROUND(I67*C67,0))</x:f>
      </x:c>
    </x:row>
    <x:row r="68">
      <x:c r="A68" s="56"/>
      <x:c r="B68" s="56"/>
      <x:c r="C68" s="63" t="str">
        <x:f>IF(OR(A68="",B68=""),"",IFERROR(SUMIFS('05_인원분류'!$C$5:$C$204,'05_인원분류'!$A$5:$A$204,A68,'05_인원분류'!$B$5:$B$204,B68),""))</x:f>
      </x:c>
      <x:c r="D68" s="56"/>
      <x:c r="E68" s="56"/>
      <x:c r="F68" s="64"/>
      <x:c r="G68" s="56"/>
      <x:c r="H68" s="56"/>
      <x:c r="I68" s="65" t="str">
        <x:f>IF(OR(A68="",B68=""),"",COUNTIFS($A$5:$A$204,A68,$B$5:$B$204,B68))</x:f>
      </x:c>
      <x:c r="J68" s="65" t="str">
        <x:f>IF(I68="","",ROUND(I68*C68,0))</x:f>
      </x:c>
    </x:row>
    <x:row r="69">
      <x:c r="A69" s="56"/>
      <x:c r="B69" s="56"/>
      <x:c r="C69" s="63" t="str">
        <x:f>IF(OR(A69="",B69=""),"",IFERROR(SUMIFS('05_인원분류'!$C$5:$C$204,'05_인원분류'!$A$5:$A$204,A69,'05_인원분류'!$B$5:$B$204,B69),""))</x:f>
      </x:c>
      <x:c r="D69" s="56"/>
      <x:c r="E69" s="56"/>
      <x:c r="F69" s="64"/>
      <x:c r="G69" s="56"/>
      <x:c r="H69" s="56"/>
      <x:c r="I69" s="65" t="str">
        <x:f>IF(OR(A69="",B69=""),"",COUNTIFS($A$5:$A$204,A69,$B$5:$B$204,B69))</x:f>
      </x:c>
      <x:c r="J69" s="65" t="str">
        <x:f>IF(I69="","",ROUND(I69*C69,0))</x:f>
      </x:c>
    </x:row>
    <x:row r="70">
      <x:c r="A70" s="56"/>
      <x:c r="B70" s="56"/>
      <x:c r="C70" s="63" t="str">
        <x:f>IF(OR(A70="",B70=""),"",IFERROR(SUMIFS('05_인원분류'!$C$5:$C$204,'05_인원분류'!$A$5:$A$204,A70,'05_인원분류'!$B$5:$B$204,B70),""))</x:f>
      </x:c>
      <x:c r="D70" s="56"/>
      <x:c r="E70" s="56"/>
      <x:c r="F70" s="64"/>
      <x:c r="G70" s="56"/>
      <x:c r="H70" s="56"/>
      <x:c r="I70" s="65" t="str">
        <x:f>IF(OR(A70="",B70=""),"",COUNTIFS($A$5:$A$204,A70,$B$5:$B$204,B70))</x:f>
      </x:c>
      <x:c r="J70" s="65" t="str">
        <x:f>IF(I70="","",ROUND(I70*C70,0))</x:f>
      </x:c>
    </x:row>
    <x:row r="71">
      <x:c r="A71" s="56"/>
      <x:c r="B71" s="56"/>
      <x:c r="C71" s="63" t="str">
        <x:f>IF(OR(A71="",B71=""),"",IFERROR(SUMIFS('05_인원분류'!$C$5:$C$204,'05_인원분류'!$A$5:$A$204,A71,'05_인원분류'!$B$5:$B$204,B71),""))</x:f>
      </x:c>
      <x:c r="D71" s="56"/>
      <x:c r="E71" s="56"/>
      <x:c r="F71" s="64"/>
      <x:c r="G71" s="56"/>
      <x:c r="H71" s="56"/>
      <x:c r="I71" s="65" t="str">
        <x:f>IF(OR(A71="",B71=""),"",COUNTIFS($A$5:$A$204,A71,$B$5:$B$204,B71))</x:f>
      </x:c>
      <x:c r="J71" s="65" t="str">
        <x:f>IF(I71="","",ROUND(I71*C71,0))</x:f>
      </x:c>
    </x:row>
    <x:row r="72">
      <x:c r="A72" s="56"/>
      <x:c r="B72" s="56"/>
      <x:c r="C72" s="63" t="str">
        <x:f>IF(OR(A72="",B72=""),"",IFERROR(SUMIFS('05_인원분류'!$C$5:$C$204,'05_인원분류'!$A$5:$A$204,A72,'05_인원분류'!$B$5:$B$204,B72),""))</x:f>
      </x:c>
      <x:c r="D72" s="56"/>
      <x:c r="E72" s="56"/>
      <x:c r="F72" s="64"/>
      <x:c r="G72" s="56"/>
      <x:c r="H72" s="56"/>
      <x:c r="I72" s="65" t="str">
        <x:f>IF(OR(A72="",B72=""),"",COUNTIFS($A$5:$A$204,A72,$B$5:$B$204,B72))</x:f>
      </x:c>
      <x:c r="J72" s="65" t="str">
        <x:f>IF(I72="","",ROUND(I72*C72,0))</x:f>
      </x:c>
    </x:row>
    <x:row r="73">
      <x:c r="A73" s="56"/>
      <x:c r="B73" s="56"/>
      <x:c r="C73" s="63" t="str">
        <x:f>IF(OR(A73="",B73=""),"",IFERROR(SUMIFS('05_인원분류'!$C$5:$C$204,'05_인원분류'!$A$5:$A$204,A73,'05_인원분류'!$B$5:$B$204,B73),""))</x:f>
      </x:c>
      <x:c r="D73" s="56"/>
      <x:c r="E73" s="56"/>
      <x:c r="F73" s="64"/>
      <x:c r="G73" s="56"/>
      <x:c r="H73" s="56"/>
      <x:c r="I73" s="65" t="str">
        <x:f>IF(OR(A73="",B73=""),"",COUNTIFS($A$5:$A$204,A73,$B$5:$B$204,B73))</x:f>
      </x:c>
      <x:c r="J73" s="65" t="str">
        <x:f>IF(I73="","",ROUND(I73*C73,0))</x:f>
      </x:c>
    </x:row>
    <x:row r="74">
      <x:c r="A74" s="56"/>
      <x:c r="B74" s="56"/>
      <x:c r="C74" s="63" t="str">
        <x:f>IF(OR(A74="",B74=""),"",IFERROR(SUMIFS('05_인원분류'!$C$5:$C$204,'05_인원분류'!$A$5:$A$204,A74,'05_인원분류'!$B$5:$B$204,B74),""))</x:f>
      </x:c>
      <x:c r="D74" s="56"/>
      <x:c r="E74" s="56"/>
      <x:c r="F74" s="64"/>
      <x:c r="G74" s="56"/>
      <x:c r="H74" s="56"/>
      <x:c r="I74" s="65" t="str">
        <x:f>IF(OR(A74="",B74=""),"",COUNTIFS($A$5:$A$204,A74,$B$5:$B$204,B74))</x:f>
      </x:c>
      <x:c r="J74" s="65" t="str">
        <x:f>IF(I74="","",ROUND(I74*C74,0))</x:f>
      </x:c>
    </x:row>
    <x:row r="75">
      <x:c r="A75" s="56"/>
      <x:c r="B75" s="56"/>
      <x:c r="C75" s="63" t="str">
        <x:f>IF(OR(A75="",B75=""),"",IFERROR(SUMIFS('05_인원분류'!$C$5:$C$204,'05_인원분류'!$A$5:$A$204,A75,'05_인원분류'!$B$5:$B$204,B75),""))</x:f>
      </x:c>
      <x:c r="D75" s="56"/>
      <x:c r="E75" s="56"/>
      <x:c r="F75" s="64"/>
      <x:c r="G75" s="56"/>
      <x:c r="H75" s="56"/>
      <x:c r="I75" s="65" t="str">
        <x:f>IF(OR(A75="",B75=""),"",COUNTIFS($A$5:$A$204,A75,$B$5:$B$204,B75))</x:f>
      </x:c>
      <x:c r="J75" s="65" t="str">
        <x:f>IF(I75="","",ROUND(I75*C75,0))</x:f>
      </x:c>
    </x:row>
    <x:row r="76">
      <x:c r="A76" s="56"/>
      <x:c r="B76" s="56"/>
      <x:c r="C76" s="63" t="str">
        <x:f>IF(OR(A76="",B76=""),"",IFERROR(SUMIFS('05_인원분류'!$C$5:$C$204,'05_인원분류'!$A$5:$A$204,A76,'05_인원분류'!$B$5:$B$204,B76),""))</x:f>
      </x:c>
      <x:c r="D76" s="56"/>
      <x:c r="E76" s="56"/>
      <x:c r="F76" s="64"/>
      <x:c r="G76" s="56"/>
      <x:c r="H76" s="56"/>
      <x:c r="I76" s="65" t="str">
        <x:f>IF(OR(A76="",B76=""),"",COUNTIFS($A$5:$A$204,A76,$B$5:$B$204,B76))</x:f>
      </x:c>
      <x:c r="J76" s="65" t="str">
        <x:f>IF(I76="","",ROUND(I76*C76,0))</x:f>
      </x:c>
    </x:row>
    <x:row r="77">
      <x:c r="A77" s="56"/>
      <x:c r="B77" s="56"/>
      <x:c r="C77" s="63" t="str">
        <x:f>IF(OR(A77="",B77=""),"",IFERROR(SUMIFS('05_인원분류'!$C$5:$C$204,'05_인원분류'!$A$5:$A$204,A77,'05_인원분류'!$B$5:$B$204,B77),""))</x:f>
      </x:c>
      <x:c r="D77" s="56"/>
      <x:c r="E77" s="56"/>
      <x:c r="F77" s="64"/>
      <x:c r="G77" s="56"/>
      <x:c r="H77" s="56"/>
      <x:c r="I77" s="65" t="str">
        <x:f>IF(OR(A77="",B77=""),"",COUNTIFS($A$5:$A$204,A77,$B$5:$B$204,B77))</x:f>
      </x:c>
      <x:c r="J77" s="65" t="str">
        <x:f>IF(I77="","",ROUND(I77*C77,0))</x:f>
      </x:c>
    </x:row>
    <x:row r="78">
      <x:c r="A78" s="56"/>
      <x:c r="B78" s="56"/>
      <x:c r="C78" s="63" t="str">
        <x:f>IF(OR(A78="",B78=""),"",IFERROR(SUMIFS('05_인원분류'!$C$5:$C$204,'05_인원분류'!$A$5:$A$204,A78,'05_인원분류'!$B$5:$B$204,B78),""))</x:f>
      </x:c>
      <x:c r="D78" s="56"/>
      <x:c r="E78" s="56"/>
      <x:c r="F78" s="64"/>
      <x:c r="G78" s="56"/>
      <x:c r="H78" s="56"/>
      <x:c r="I78" s="65" t="str">
        <x:f>IF(OR(A78="",B78=""),"",COUNTIFS($A$5:$A$204,A78,$B$5:$B$204,B78))</x:f>
      </x:c>
      <x:c r="J78" s="65" t="str">
        <x:f>IF(I78="","",ROUND(I78*C78,0))</x:f>
      </x:c>
    </x:row>
    <x:row r="79">
      <x:c r="A79" s="56"/>
      <x:c r="B79" s="56"/>
      <x:c r="C79" s="63" t="str">
        <x:f>IF(OR(A79="",B79=""),"",IFERROR(SUMIFS('05_인원분류'!$C$5:$C$204,'05_인원분류'!$A$5:$A$204,A79,'05_인원분류'!$B$5:$B$204,B79),""))</x:f>
      </x:c>
      <x:c r="D79" s="56"/>
      <x:c r="E79" s="56"/>
      <x:c r="F79" s="64"/>
      <x:c r="G79" s="56"/>
      <x:c r="H79" s="56"/>
      <x:c r="I79" s="65" t="str">
        <x:f>IF(OR(A79="",B79=""),"",COUNTIFS($A$5:$A$204,A79,$B$5:$B$204,B79))</x:f>
      </x:c>
      <x:c r="J79" s="65" t="str">
        <x:f>IF(I79="","",ROUND(I79*C79,0))</x:f>
      </x:c>
    </x:row>
    <x:row r="80">
      <x:c r="A80" s="56"/>
      <x:c r="B80" s="56"/>
      <x:c r="C80" s="63" t="str">
        <x:f>IF(OR(A80="",B80=""),"",IFERROR(SUMIFS('05_인원분류'!$C$5:$C$204,'05_인원분류'!$A$5:$A$204,A80,'05_인원분류'!$B$5:$B$204,B80),""))</x:f>
      </x:c>
      <x:c r="D80" s="56"/>
      <x:c r="E80" s="56"/>
      <x:c r="F80" s="64"/>
      <x:c r="G80" s="56"/>
      <x:c r="H80" s="56"/>
      <x:c r="I80" s="65" t="str">
        <x:f>IF(OR(A80="",B80=""),"",COUNTIFS($A$5:$A$204,A80,$B$5:$B$204,B80))</x:f>
      </x:c>
      <x:c r="J80" s="65" t="str">
        <x:f>IF(I80="","",ROUND(I80*C80,0))</x:f>
      </x:c>
    </x:row>
    <x:row r="81">
      <x:c r="A81" s="56"/>
      <x:c r="B81" s="56"/>
      <x:c r="C81" s="63" t="str">
        <x:f>IF(OR(A81="",B81=""),"",IFERROR(SUMIFS('05_인원분류'!$C$5:$C$204,'05_인원분류'!$A$5:$A$204,A81,'05_인원분류'!$B$5:$B$204,B81),""))</x:f>
      </x:c>
      <x:c r="D81" s="56"/>
      <x:c r="E81" s="56"/>
      <x:c r="F81" s="64"/>
      <x:c r="G81" s="56"/>
      <x:c r="H81" s="56"/>
      <x:c r="I81" s="65" t="str">
        <x:f>IF(OR(A81="",B81=""),"",COUNTIFS($A$5:$A$204,A81,$B$5:$B$204,B81))</x:f>
      </x:c>
      <x:c r="J81" s="65" t="str">
        <x:f>IF(I81="","",ROUND(I81*C81,0))</x:f>
      </x:c>
    </x:row>
    <x:row r="82">
      <x:c r="A82" s="56"/>
      <x:c r="B82" s="56"/>
      <x:c r="C82" s="63" t="str">
        <x:f>IF(OR(A82="",B82=""),"",IFERROR(SUMIFS('05_인원분류'!$C$5:$C$204,'05_인원분류'!$A$5:$A$204,A82,'05_인원분류'!$B$5:$B$204,B82),""))</x:f>
      </x:c>
      <x:c r="D82" s="56"/>
      <x:c r="E82" s="56"/>
      <x:c r="F82" s="64"/>
      <x:c r="G82" s="56"/>
      <x:c r="H82" s="56"/>
      <x:c r="I82" s="65" t="str">
        <x:f>IF(OR(A82="",B82=""),"",COUNTIFS($A$5:$A$204,A82,$B$5:$B$204,B82))</x:f>
      </x:c>
      <x:c r="J82" s="65" t="str">
        <x:f>IF(I82="","",ROUND(I82*C82,0))</x:f>
      </x:c>
    </x:row>
    <x:row r="83">
      <x:c r="A83" s="56"/>
      <x:c r="B83" s="56"/>
      <x:c r="C83" s="63" t="str">
        <x:f>IF(OR(A83="",B83=""),"",IFERROR(SUMIFS('05_인원분류'!$C$5:$C$204,'05_인원분류'!$A$5:$A$204,A83,'05_인원분류'!$B$5:$B$204,B83),""))</x:f>
      </x:c>
      <x:c r="D83" s="56"/>
      <x:c r="E83" s="56"/>
      <x:c r="F83" s="64"/>
      <x:c r="G83" s="56"/>
      <x:c r="H83" s="56"/>
      <x:c r="I83" s="65" t="str">
        <x:f>IF(OR(A83="",B83=""),"",COUNTIFS($A$5:$A$204,A83,$B$5:$B$204,B83))</x:f>
      </x:c>
      <x:c r="J83" s="65" t="str">
        <x:f>IF(I83="","",ROUND(I83*C83,0))</x:f>
      </x:c>
    </x:row>
    <x:row r="84">
      <x:c r="A84" s="56"/>
      <x:c r="B84" s="56"/>
      <x:c r="C84" s="63" t="str">
        <x:f>IF(OR(A84="",B84=""),"",IFERROR(SUMIFS('05_인원분류'!$C$5:$C$204,'05_인원분류'!$A$5:$A$204,A84,'05_인원분류'!$B$5:$B$204,B84),""))</x:f>
      </x:c>
      <x:c r="D84" s="56"/>
      <x:c r="E84" s="56"/>
      <x:c r="F84" s="64"/>
      <x:c r="G84" s="56"/>
      <x:c r="H84" s="56"/>
      <x:c r="I84" s="65" t="str">
        <x:f>IF(OR(A84="",B84=""),"",COUNTIFS($A$5:$A$204,A84,$B$5:$B$204,B84))</x:f>
      </x:c>
      <x:c r="J84" s="65" t="str">
        <x:f>IF(I84="","",ROUND(I84*C84,0))</x:f>
      </x:c>
    </x:row>
    <x:row r="85">
      <x:c r="A85" s="56"/>
      <x:c r="B85" s="56"/>
      <x:c r="C85" s="63" t="str">
        <x:f>IF(OR(A85="",B85=""),"",IFERROR(SUMIFS('05_인원분류'!$C$5:$C$204,'05_인원분류'!$A$5:$A$204,A85,'05_인원분류'!$B$5:$B$204,B85),""))</x:f>
      </x:c>
      <x:c r="D85" s="56"/>
      <x:c r="E85" s="56"/>
      <x:c r="F85" s="64"/>
      <x:c r="G85" s="56"/>
      <x:c r="H85" s="56"/>
      <x:c r="I85" s="65" t="str">
        <x:f>IF(OR(A85="",B85=""),"",COUNTIFS($A$5:$A$204,A85,$B$5:$B$204,B85))</x:f>
      </x:c>
      <x:c r="J85" s="65" t="str">
        <x:f>IF(I85="","",ROUND(I85*C85,0))</x:f>
      </x:c>
    </x:row>
    <x:row r="86">
      <x:c r="A86" s="56"/>
      <x:c r="B86" s="56"/>
      <x:c r="C86" s="63" t="str">
        <x:f>IF(OR(A86="",B86=""),"",IFERROR(SUMIFS('05_인원분류'!$C$5:$C$204,'05_인원분류'!$A$5:$A$204,A86,'05_인원분류'!$B$5:$B$204,B86),""))</x:f>
      </x:c>
      <x:c r="D86" s="56"/>
      <x:c r="E86" s="56"/>
      <x:c r="F86" s="64"/>
      <x:c r="G86" s="56"/>
      <x:c r="H86" s="56"/>
      <x:c r="I86" s="65" t="str">
        <x:f>IF(OR(A86="",B86=""),"",COUNTIFS($A$5:$A$204,A86,$B$5:$B$204,B86))</x:f>
      </x:c>
      <x:c r="J86" s="65" t="str">
        <x:f>IF(I86="","",ROUND(I86*C86,0))</x:f>
      </x:c>
    </x:row>
    <x:row r="87">
      <x:c r="A87" s="56"/>
      <x:c r="B87" s="56"/>
      <x:c r="C87" s="63" t="str">
        <x:f>IF(OR(A87="",B87=""),"",IFERROR(SUMIFS('05_인원분류'!$C$5:$C$204,'05_인원분류'!$A$5:$A$204,A87,'05_인원분류'!$B$5:$B$204,B87),""))</x:f>
      </x:c>
      <x:c r="D87" s="56"/>
      <x:c r="E87" s="56"/>
      <x:c r="F87" s="64"/>
      <x:c r="G87" s="56"/>
      <x:c r="H87" s="56"/>
      <x:c r="I87" s="65" t="str">
        <x:f>IF(OR(A87="",B87=""),"",COUNTIFS($A$5:$A$204,A87,$B$5:$B$204,B87))</x:f>
      </x:c>
      <x:c r="J87" s="65" t="str">
        <x:f>IF(I87="","",ROUND(I87*C87,0))</x:f>
      </x:c>
    </x:row>
    <x:row r="88">
      <x:c r="A88" s="56"/>
      <x:c r="B88" s="56"/>
      <x:c r="C88" s="63" t="str">
        <x:f>IF(OR(A88="",B88=""),"",IFERROR(SUMIFS('05_인원분류'!$C$5:$C$204,'05_인원분류'!$A$5:$A$204,A88,'05_인원분류'!$B$5:$B$204,B88),""))</x:f>
      </x:c>
      <x:c r="D88" s="56"/>
      <x:c r="E88" s="56"/>
      <x:c r="F88" s="64"/>
      <x:c r="G88" s="56"/>
      <x:c r="H88" s="56"/>
      <x:c r="I88" s="65" t="str">
        <x:f>IF(OR(A88="",B88=""),"",COUNTIFS($A$5:$A$204,A88,$B$5:$B$204,B88))</x:f>
      </x:c>
      <x:c r="J88" s="65" t="str">
        <x:f>IF(I88="","",ROUND(I88*C88,0))</x:f>
      </x:c>
    </x:row>
    <x:row r="89">
      <x:c r="A89" s="56"/>
      <x:c r="B89" s="56"/>
      <x:c r="C89" s="63" t="str">
        <x:f>IF(OR(A89="",B89=""),"",IFERROR(SUMIFS('05_인원분류'!$C$5:$C$204,'05_인원분류'!$A$5:$A$204,A89,'05_인원분류'!$B$5:$B$204,B89),""))</x:f>
      </x:c>
      <x:c r="D89" s="56"/>
      <x:c r="E89" s="56"/>
      <x:c r="F89" s="64"/>
      <x:c r="G89" s="56"/>
      <x:c r="H89" s="56"/>
      <x:c r="I89" s="65" t="str">
        <x:f>IF(OR(A89="",B89=""),"",COUNTIFS($A$5:$A$204,A89,$B$5:$B$204,B89))</x:f>
      </x:c>
      <x:c r="J89" s="65" t="str">
        <x:f>IF(I89="","",ROUND(I89*C89,0))</x:f>
      </x:c>
    </x:row>
    <x:row r="90">
      <x:c r="A90" s="56"/>
      <x:c r="B90" s="56"/>
      <x:c r="C90" s="63" t="str">
        <x:f>IF(OR(A90="",B90=""),"",IFERROR(SUMIFS('05_인원분류'!$C$5:$C$204,'05_인원분류'!$A$5:$A$204,A90,'05_인원분류'!$B$5:$B$204,B90),""))</x:f>
      </x:c>
      <x:c r="D90" s="56"/>
      <x:c r="E90" s="56"/>
      <x:c r="F90" s="64"/>
      <x:c r="G90" s="56"/>
      <x:c r="H90" s="56"/>
      <x:c r="I90" s="65" t="str">
        <x:f>IF(OR(A90="",B90=""),"",COUNTIFS($A$5:$A$204,A90,$B$5:$B$204,B90))</x:f>
      </x:c>
      <x:c r="J90" s="65" t="str">
        <x:f>IF(I90="","",ROUND(I90*C90,0))</x:f>
      </x:c>
    </x:row>
    <x:row r="91">
      <x:c r="A91" s="56"/>
      <x:c r="B91" s="56"/>
      <x:c r="C91" s="63" t="str">
        <x:f>IF(OR(A91="",B91=""),"",IFERROR(SUMIFS('05_인원분류'!$C$5:$C$204,'05_인원분류'!$A$5:$A$204,A91,'05_인원분류'!$B$5:$B$204,B91),""))</x:f>
      </x:c>
      <x:c r="D91" s="56"/>
      <x:c r="E91" s="56"/>
      <x:c r="F91" s="64"/>
      <x:c r="G91" s="56"/>
      <x:c r="H91" s="56"/>
      <x:c r="I91" s="65" t="str">
        <x:f>IF(OR(A91="",B91=""),"",COUNTIFS($A$5:$A$204,A91,$B$5:$B$204,B91))</x:f>
      </x:c>
      <x:c r="J91" s="65" t="str">
        <x:f>IF(I91="","",ROUND(I91*C91,0))</x:f>
      </x:c>
    </x:row>
    <x:row r="92">
      <x:c r="A92" s="56"/>
      <x:c r="B92" s="56"/>
      <x:c r="C92" s="63" t="str">
        <x:f>IF(OR(A92="",B92=""),"",IFERROR(SUMIFS('05_인원분류'!$C$5:$C$204,'05_인원분류'!$A$5:$A$204,A92,'05_인원분류'!$B$5:$B$204,B92),""))</x:f>
      </x:c>
      <x:c r="D92" s="56"/>
      <x:c r="E92" s="56"/>
      <x:c r="F92" s="64"/>
      <x:c r="G92" s="56"/>
      <x:c r="H92" s="56"/>
      <x:c r="I92" s="65" t="str">
        <x:f>IF(OR(A92="",B92=""),"",COUNTIFS($A$5:$A$204,A92,$B$5:$B$204,B92))</x:f>
      </x:c>
      <x:c r="J92" s="65" t="str">
        <x:f>IF(I92="","",ROUND(I92*C92,0))</x:f>
      </x:c>
    </x:row>
    <x:row r="93">
      <x:c r="A93" s="56"/>
      <x:c r="B93" s="56"/>
      <x:c r="C93" s="63" t="str">
        <x:f>IF(OR(A93="",B93=""),"",IFERROR(SUMIFS('05_인원분류'!$C$5:$C$204,'05_인원분류'!$A$5:$A$204,A93,'05_인원분류'!$B$5:$B$204,B93),""))</x:f>
      </x:c>
      <x:c r="D93" s="56"/>
      <x:c r="E93" s="56"/>
      <x:c r="F93" s="64"/>
      <x:c r="G93" s="56"/>
      <x:c r="H93" s="56"/>
      <x:c r="I93" s="65" t="str">
        <x:f>IF(OR(A93="",B93=""),"",COUNTIFS($A$5:$A$204,A93,$B$5:$B$204,B93))</x:f>
      </x:c>
      <x:c r="J93" s="65" t="str">
        <x:f>IF(I93="","",ROUND(I93*C93,0))</x:f>
      </x:c>
    </x:row>
    <x:row r="94">
      <x:c r="A94" s="56"/>
      <x:c r="B94" s="56"/>
      <x:c r="C94" s="63" t="str">
        <x:f>IF(OR(A94="",B94=""),"",IFERROR(SUMIFS('05_인원분류'!$C$5:$C$204,'05_인원분류'!$A$5:$A$204,A94,'05_인원분류'!$B$5:$B$204,B94),""))</x:f>
      </x:c>
      <x:c r="D94" s="56"/>
      <x:c r="E94" s="56"/>
      <x:c r="F94" s="64"/>
      <x:c r="G94" s="56"/>
      <x:c r="H94" s="56"/>
      <x:c r="I94" s="65" t="str">
        <x:f>IF(OR(A94="",B94=""),"",COUNTIFS($A$5:$A$204,A94,$B$5:$B$204,B94))</x:f>
      </x:c>
      <x:c r="J94" s="65" t="str">
        <x:f>IF(I94="","",ROUND(I94*C94,0))</x:f>
      </x:c>
    </x:row>
    <x:row r="95">
      <x:c r="A95" s="56"/>
      <x:c r="B95" s="56"/>
      <x:c r="C95" s="63" t="str">
        <x:f>IF(OR(A95="",B95=""),"",IFERROR(SUMIFS('05_인원분류'!$C$5:$C$204,'05_인원분류'!$A$5:$A$204,A95,'05_인원분류'!$B$5:$B$204,B95),""))</x:f>
      </x:c>
      <x:c r="D95" s="56"/>
      <x:c r="E95" s="56"/>
      <x:c r="F95" s="64"/>
      <x:c r="G95" s="56"/>
      <x:c r="H95" s="56"/>
      <x:c r="I95" s="65" t="str">
        <x:f>IF(OR(A95="",B95=""),"",COUNTIFS($A$5:$A$204,A95,$B$5:$B$204,B95))</x:f>
      </x:c>
      <x:c r="J95" s="65" t="str">
        <x:f>IF(I95="","",ROUND(I95*C95,0))</x:f>
      </x:c>
    </x:row>
    <x:row r="96">
      <x:c r="A96" s="56"/>
      <x:c r="B96" s="56"/>
      <x:c r="C96" s="63" t="str">
        <x:f>IF(OR(A96="",B96=""),"",IFERROR(SUMIFS('05_인원분류'!$C$5:$C$204,'05_인원분류'!$A$5:$A$204,A96,'05_인원분류'!$B$5:$B$204,B96),""))</x:f>
      </x:c>
      <x:c r="D96" s="56"/>
      <x:c r="E96" s="56"/>
      <x:c r="F96" s="64"/>
      <x:c r="G96" s="56"/>
      <x:c r="H96" s="56"/>
      <x:c r="I96" s="65" t="str">
        <x:f>IF(OR(A96="",B96=""),"",COUNTIFS($A$5:$A$204,A96,$B$5:$B$204,B96))</x:f>
      </x:c>
      <x:c r="J96" s="65" t="str">
        <x:f>IF(I96="","",ROUND(I96*C96,0))</x:f>
      </x:c>
    </x:row>
    <x:row r="97">
      <x:c r="A97" s="56"/>
      <x:c r="B97" s="56"/>
      <x:c r="C97" s="63" t="str">
        <x:f>IF(OR(A97="",B97=""),"",IFERROR(SUMIFS('05_인원분류'!$C$5:$C$204,'05_인원분류'!$A$5:$A$204,A97,'05_인원분류'!$B$5:$B$204,B97),""))</x:f>
      </x:c>
      <x:c r="D97" s="56"/>
      <x:c r="E97" s="56"/>
      <x:c r="F97" s="64"/>
      <x:c r="G97" s="56"/>
      <x:c r="H97" s="56"/>
      <x:c r="I97" s="65" t="str">
        <x:f>IF(OR(A97="",B97=""),"",COUNTIFS($A$5:$A$204,A97,$B$5:$B$204,B97))</x:f>
      </x:c>
      <x:c r="J97" s="65" t="str">
        <x:f>IF(I97="","",ROUND(I97*C97,0))</x:f>
      </x:c>
    </x:row>
    <x:row r="98">
      <x:c r="A98" s="56"/>
      <x:c r="B98" s="56"/>
      <x:c r="C98" s="63" t="str">
        <x:f>IF(OR(A98="",B98=""),"",IFERROR(SUMIFS('05_인원분류'!$C$5:$C$204,'05_인원분류'!$A$5:$A$204,A98,'05_인원분류'!$B$5:$B$204,B98),""))</x:f>
      </x:c>
      <x:c r="D98" s="56"/>
      <x:c r="E98" s="56"/>
      <x:c r="F98" s="64"/>
      <x:c r="G98" s="56"/>
      <x:c r="H98" s="56"/>
      <x:c r="I98" s="65" t="str">
        <x:f>IF(OR(A98="",B98=""),"",COUNTIFS($A$5:$A$204,A98,$B$5:$B$204,B98))</x:f>
      </x:c>
      <x:c r="J98" s="65" t="str">
        <x:f>IF(I98="","",ROUND(I98*C98,0))</x:f>
      </x:c>
    </x:row>
    <x:row r="99">
      <x:c r="A99" s="56"/>
      <x:c r="B99" s="56"/>
      <x:c r="C99" s="63" t="str">
        <x:f>IF(OR(A99="",B99=""),"",IFERROR(SUMIFS('05_인원분류'!$C$5:$C$204,'05_인원분류'!$A$5:$A$204,A99,'05_인원분류'!$B$5:$B$204,B99),""))</x:f>
      </x:c>
      <x:c r="D99" s="56"/>
      <x:c r="E99" s="56"/>
      <x:c r="F99" s="64"/>
      <x:c r="G99" s="56"/>
      <x:c r="H99" s="56"/>
      <x:c r="I99" s="65" t="str">
        <x:f>IF(OR(A99="",B99=""),"",COUNTIFS($A$5:$A$204,A99,$B$5:$B$204,B99))</x:f>
      </x:c>
      <x:c r="J99" s="65" t="str">
        <x:f>IF(I99="","",ROUND(I99*C99,0))</x:f>
      </x:c>
    </x:row>
    <x:row r="100">
      <x:c r="A100" s="56"/>
      <x:c r="B100" s="56"/>
      <x:c r="C100" s="63" t="str">
        <x:f>IF(OR(A100="",B100=""),"",IFERROR(SUMIFS('05_인원분류'!$C$5:$C$204,'05_인원분류'!$A$5:$A$204,A100,'05_인원분류'!$B$5:$B$204,B100),""))</x:f>
      </x:c>
      <x:c r="D100" s="56"/>
      <x:c r="E100" s="56"/>
      <x:c r="F100" s="64"/>
      <x:c r="G100" s="56"/>
      <x:c r="H100" s="56"/>
      <x:c r="I100" s="65" t="str">
        <x:f>IF(OR(A100="",B100=""),"",COUNTIFS($A$5:$A$204,A100,$B$5:$B$204,B100))</x:f>
      </x:c>
      <x:c r="J100" s="65" t="str">
        <x:f>IF(I100="","",ROUND(I100*C100,0))</x:f>
      </x:c>
    </x:row>
    <x:row r="101">
      <x:c r="A101" s="56"/>
      <x:c r="B101" s="56"/>
      <x:c r="C101" s="63" t="str">
        <x:f>IF(OR(A101="",B101=""),"",IFERROR(SUMIFS('05_인원분류'!$C$5:$C$204,'05_인원분류'!$A$5:$A$204,A101,'05_인원분류'!$B$5:$B$204,B101),""))</x:f>
      </x:c>
      <x:c r="D101" s="56"/>
      <x:c r="E101" s="56"/>
      <x:c r="F101" s="64"/>
      <x:c r="G101" s="56"/>
      <x:c r="H101" s="56"/>
      <x:c r="I101" s="65" t="str">
        <x:f>IF(OR(A101="",B101=""),"",COUNTIFS($A$5:$A$204,A101,$B$5:$B$204,B101))</x:f>
      </x:c>
      <x:c r="J101" s="65" t="str">
        <x:f>IF(I101="","",ROUND(I101*C101,0))</x:f>
      </x:c>
    </x:row>
    <x:row r="102">
      <x:c r="A102" s="56"/>
      <x:c r="B102" s="56"/>
      <x:c r="C102" s="63" t="str">
        <x:f>IF(OR(A102="",B102=""),"",IFERROR(SUMIFS('05_인원분류'!$C$5:$C$204,'05_인원분류'!$A$5:$A$204,A102,'05_인원분류'!$B$5:$B$204,B102),""))</x:f>
      </x:c>
      <x:c r="D102" s="56"/>
      <x:c r="E102" s="56"/>
      <x:c r="F102" s="64"/>
      <x:c r="G102" s="56"/>
      <x:c r="H102" s="56"/>
      <x:c r="I102" s="65" t="str">
        <x:f>IF(OR(A102="",B102=""),"",COUNTIFS($A$5:$A$204,A102,$B$5:$B$204,B102))</x:f>
      </x:c>
      <x:c r="J102" s="65" t="str">
        <x:f>IF(I102="","",ROUND(I102*C102,0))</x:f>
      </x:c>
    </x:row>
    <x:row r="103">
      <x:c r="A103" s="56"/>
      <x:c r="B103" s="56"/>
      <x:c r="C103" s="63" t="str">
        <x:f>IF(OR(A103="",B103=""),"",IFERROR(SUMIFS('05_인원분류'!$C$5:$C$204,'05_인원분류'!$A$5:$A$204,A103,'05_인원분류'!$B$5:$B$204,B103),""))</x:f>
      </x:c>
      <x:c r="D103" s="56"/>
      <x:c r="E103" s="56"/>
      <x:c r="F103" s="64"/>
      <x:c r="G103" s="56"/>
      <x:c r="H103" s="56"/>
      <x:c r="I103" s="65" t="str">
        <x:f>IF(OR(A103="",B103=""),"",COUNTIFS($A$5:$A$204,A103,$B$5:$B$204,B103))</x:f>
      </x:c>
      <x:c r="J103" s="65" t="str">
        <x:f>IF(I103="","",ROUND(I103*C103,0))</x:f>
      </x:c>
    </x:row>
    <x:row r="104">
      <x:c r="A104" s="56"/>
      <x:c r="B104" s="56"/>
      <x:c r="C104" s="63" t="str">
        <x:f>IF(OR(A104="",B104=""),"",IFERROR(SUMIFS('05_인원분류'!$C$5:$C$204,'05_인원분류'!$A$5:$A$204,A104,'05_인원분류'!$B$5:$B$204,B104),""))</x:f>
      </x:c>
      <x:c r="D104" s="56"/>
      <x:c r="E104" s="56"/>
      <x:c r="F104" s="64"/>
      <x:c r="G104" s="56"/>
      <x:c r="H104" s="56"/>
      <x:c r="I104" s="65" t="str">
        <x:f>IF(OR(A104="",B104=""),"",COUNTIFS($A$5:$A$204,A104,$B$5:$B$204,B104))</x:f>
      </x:c>
      <x:c r="J104" s="65" t="str">
        <x:f>IF(I104="","",ROUND(I104*C104,0))</x:f>
      </x:c>
    </x:row>
    <x:row r="105">
      <x:c r="A105" s="56"/>
      <x:c r="B105" s="56"/>
      <x:c r="C105" s="63" t="str">
        <x:f>IF(OR(A105="",B105=""),"",IFERROR(SUMIFS('05_인원분류'!$C$5:$C$204,'05_인원분류'!$A$5:$A$204,A105,'05_인원분류'!$B$5:$B$204,B105),""))</x:f>
      </x:c>
      <x:c r="D105" s="56"/>
      <x:c r="E105" s="56"/>
      <x:c r="F105" s="64"/>
      <x:c r="G105" s="56"/>
      <x:c r="H105" s="56"/>
      <x:c r="I105" s="65" t="str">
        <x:f>IF(OR(A105="",B105=""),"",COUNTIFS($A$5:$A$204,A105,$B$5:$B$204,B105))</x:f>
      </x:c>
      <x:c r="J105" s="65" t="str">
        <x:f>IF(I105="","",ROUND(I105*C105,0))</x:f>
      </x:c>
    </x:row>
    <x:row r="106">
      <x:c r="A106" s="56"/>
      <x:c r="B106" s="56"/>
      <x:c r="C106" s="63" t="str">
        <x:f>IF(OR(A106="",B106=""),"",IFERROR(SUMIFS('05_인원분류'!$C$5:$C$204,'05_인원분류'!$A$5:$A$204,A106,'05_인원분류'!$B$5:$B$204,B106),""))</x:f>
      </x:c>
      <x:c r="D106" s="56"/>
      <x:c r="E106" s="56"/>
      <x:c r="F106" s="64"/>
      <x:c r="G106" s="56"/>
      <x:c r="H106" s="56"/>
      <x:c r="I106" s="65" t="str">
        <x:f>IF(OR(A106="",B106=""),"",COUNTIFS($A$5:$A$204,A106,$B$5:$B$204,B106))</x:f>
      </x:c>
      <x:c r="J106" s="65" t="str">
        <x:f>IF(I106="","",ROUND(I106*C106,0))</x:f>
      </x:c>
    </x:row>
    <x:row r="107">
      <x:c r="A107" s="56"/>
      <x:c r="B107" s="56"/>
      <x:c r="C107" s="63" t="str">
        <x:f>IF(OR(A107="",B107=""),"",IFERROR(SUMIFS('05_인원분류'!$C$5:$C$204,'05_인원분류'!$A$5:$A$204,A107,'05_인원분류'!$B$5:$B$204,B107),""))</x:f>
      </x:c>
      <x:c r="D107" s="56"/>
      <x:c r="E107" s="56"/>
      <x:c r="F107" s="64"/>
      <x:c r="G107" s="56"/>
      <x:c r="H107" s="56"/>
      <x:c r="I107" s="65" t="str">
        <x:f>IF(OR(A107="",B107=""),"",COUNTIFS($A$5:$A$204,A107,$B$5:$B$204,B107))</x:f>
      </x:c>
      <x:c r="J107" s="65" t="str">
        <x:f>IF(I107="","",ROUND(I107*C107,0))</x:f>
      </x:c>
    </x:row>
    <x:row r="108">
      <x:c r="A108" s="56"/>
      <x:c r="B108" s="56"/>
      <x:c r="C108" s="63" t="str">
        <x:f>IF(OR(A108="",B108=""),"",IFERROR(SUMIFS('05_인원분류'!$C$5:$C$204,'05_인원분류'!$A$5:$A$204,A108,'05_인원분류'!$B$5:$B$204,B108),""))</x:f>
      </x:c>
      <x:c r="D108" s="56"/>
      <x:c r="E108" s="56"/>
      <x:c r="F108" s="64"/>
      <x:c r="G108" s="56"/>
      <x:c r="H108" s="56"/>
      <x:c r="I108" s="65" t="str">
        <x:f>IF(OR(A108="",B108=""),"",COUNTIFS($A$5:$A$204,A108,$B$5:$B$204,B108))</x:f>
      </x:c>
      <x:c r="J108" s="65" t="str">
        <x:f>IF(I108="","",ROUND(I108*C108,0))</x:f>
      </x:c>
    </x:row>
    <x:row r="109">
      <x:c r="A109" s="56"/>
      <x:c r="B109" s="56"/>
      <x:c r="C109" s="63" t="str">
        <x:f>IF(OR(A109="",B109=""),"",IFERROR(SUMIFS('05_인원분류'!$C$5:$C$204,'05_인원분류'!$A$5:$A$204,A109,'05_인원분류'!$B$5:$B$204,B109),""))</x:f>
      </x:c>
      <x:c r="D109" s="56"/>
      <x:c r="E109" s="56"/>
      <x:c r="F109" s="64"/>
      <x:c r="G109" s="56"/>
      <x:c r="H109" s="56"/>
      <x:c r="I109" s="65" t="str">
        <x:f>IF(OR(A109="",B109=""),"",COUNTIFS($A$5:$A$204,A109,$B$5:$B$204,B109))</x:f>
      </x:c>
      <x:c r="J109" s="65" t="str">
        <x:f>IF(I109="","",ROUND(I109*C109,0))</x:f>
      </x:c>
    </x:row>
    <x:row r="110">
      <x:c r="A110" s="56"/>
      <x:c r="B110" s="56"/>
      <x:c r="C110" s="63" t="str">
        <x:f>IF(OR(A110="",B110=""),"",IFERROR(SUMIFS('05_인원분류'!$C$5:$C$204,'05_인원분류'!$A$5:$A$204,A110,'05_인원분류'!$B$5:$B$204,B110),""))</x:f>
      </x:c>
      <x:c r="D110" s="56"/>
      <x:c r="E110" s="56"/>
      <x:c r="F110" s="64"/>
      <x:c r="G110" s="56"/>
      <x:c r="H110" s="56"/>
      <x:c r="I110" s="65" t="str">
        <x:f>IF(OR(A110="",B110=""),"",COUNTIFS($A$5:$A$204,A110,$B$5:$B$204,B110))</x:f>
      </x:c>
      <x:c r="J110" s="65" t="str">
        <x:f>IF(I110="","",ROUND(I110*C110,0))</x:f>
      </x:c>
    </x:row>
    <x:row r="111">
      <x:c r="A111" s="56"/>
      <x:c r="B111" s="56"/>
      <x:c r="C111" s="63" t="str">
        <x:f>IF(OR(A111="",B111=""),"",IFERROR(SUMIFS('05_인원분류'!$C$5:$C$204,'05_인원분류'!$A$5:$A$204,A111,'05_인원분류'!$B$5:$B$204,B111),""))</x:f>
      </x:c>
      <x:c r="D111" s="56"/>
      <x:c r="E111" s="56"/>
      <x:c r="F111" s="64"/>
      <x:c r="G111" s="56"/>
      <x:c r="H111" s="56"/>
      <x:c r="I111" s="65" t="str">
        <x:f>IF(OR(A111="",B111=""),"",COUNTIFS($A$5:$A$204,A111,$B$5:$B$204,B111))</x:f>
      </x:c>
      <x:c r="J111" s="65" t="str">
        <x:f>IF(I111="","",ROUND(I111*C111,0))</x:f>
      </x:c>
    </x:row>
    <x:row r="112">
      <x:c r="A112" s="56"/>
      <x:c r="B112" s="56"/>
      <x:c r="C112" s="63" t="str">
        <x:f>IF(OR(A112="",B112=""),"",IFERROR(SUMIFS('05_인원분류'!$C$5:$C$204,'05_인원분류'!$A$5:$A$204,A112,'05_인원분류'!$B$5:$B$204,B112),""))</x:f>
      </x:c>
      <x:c r="D112" s="56"/>
      <x:c r="E112" s="56"/>
      <x:c r="F112" s="64"/>
      <x:c r="G112" s="56"/>
      <x:c r="H112" s="56"/>
      <x:c r="I112" s="65" t="str">
        <x:f>IF(OR(A112="",B112=""),"",COUNTIFS($A$5:$A$204,A112,$B$5:$B$204,B112))</x:f>
      </x:c>
      <x:c r="J112" s="65" t="str">
        <x:f>IF(I112="","",ROUND(I112*C112,0))</x:f>
      </x:c>
    </x:row>
    <x:row r="113">
      <x:c r="A113" s="56"/>
      <x:c r="B113" s="56"/>
      <x:c r="C113" s="63" t="str">
        <x:f>IF(OR(A113="",B113=""),"",IFERROR(SUMIFS('05_인원분류'!$C$5:$C$204,'05_인원분류'!$A$5:$A$204,A113,'05_인원분류'!$B$5:$B$204,B113),""))</x:f>
      </x:c>
      <x:c r="D113" s="56"/>
      <x:c r="E113" s="56"/>
      <x:c r="F113" s="64"/>
      <x:c r="G113" s="56"/>
      <x:c r="H113" s="56"/>
      <x:c r="I113" s="65" t="str">
        <x:f>IF(OR(A113="",B113=""),"",COUNTIFS($A$5:$A$204,A113,$B$5:$B$204,B113))</x:f>
      </x:c>
      <x:c r="J113" s="65" t="str">
        <x:f>IF(I113="","",ROUND(I113*C113,0))</x:f>
      </x:c>
    </x:row>
    <x:row r="114">
      <x:c r="A114" s="56"/>
      <x:c r="B114" s="56"/>
      <x:c r="C114" s="63" t="str">
        <x:f>IF(OR(A114="",B114=""),"",IFERROR(SUMIFS('05_인원분류'!$C$5:$C$204,'05_인원분류'!$A$5:$A$204,A114,'05_인원분류'!$B$5:$B$204,B114),""))</x:f>
      </x:c>
      <x:c r="D114" s="56"/>
      <x:c r="E114" s="56"/>
      <x:c r="F114" s="64"/>
      <x:c r="G114" s="56"/>
      <x:c r="H114" s="56"/>
      <x:c r="I114" s="65" t="str">
        <x:f>IF(OR(A114="",B114=""),"",COUNTIFS($A$5:$A$204,A114,$B$5:$B$204,B114))</x:f>
      </x:c>
      <x:c r="J114" s="65" t="str">
        <x:f>IF(I114="","",ROUND(I114*C114,0))</x:f>
      </x:c>
    </x:row>
    <x:row r="115">
      <x:c r="A115" s="56"/>
      <x:c r="B115" s="56"/>
      <x:c r="C115" s="63" t="str">
        <x:f>IF(OR(A115="",B115=""),"",IFERROR(SUMIFS('05_인원분류'!$C$5:$C$204,'05_인원분류'!$A$5:$A$204,A115,'05_인원분류'!$B$5:$B$204,B115),""))</x:f>
      </x:c>
      <x:c r="D115" s="56"/>
      <x:c r="E115" s="56"/>
      <x:c r="F115" s="64"/>
      <x:c r="G115" s="56"/>
      <x:c r="H115" s="56"/>
      <x:c r="I115" s="65" t="str">
        <x:f>IF(OR(A115="",B115=""),"",COUNTIFS($A$5:$A$204,A115,$B$5:$B$204,B115))</x:f>
      </x:c>
      <x:c r="J115" s="65" t="str">
        <x:f>IF(I115="","",ROUND(I115*C115,0))</x:f>
      </x:c>
    </x:row>
    <x:row r="116">
      <x:c r="A116" s="56"/>
      <x:c r="B116" s="56"/>
      <x:c r="C116" s="63" t="str">
        <x:f>IF(OR(A116="",B116=""),"",IFERROR(SUMIFS('05_인원분류'!$C$5:$C$204,'05_인원분류'!$A$5:$A$204,A116,'05_인원분류'!$B$5:$B$204,B116),""))</x:f>
      </x:c>
      <x:c r="D116" s="56"/>
      <x:c r="E116" s="56"/>
      <x:c r="F116" s="64"/>
      <x:c r="G116" s="56"/>
      <x:c r="H116" s="56"/>
      <x:c r="I116" s="65" t="str">
        <x:f>IF(OR(A116="",B116=""),"",COUNTIFS($A$5:$A$204,A116,$B$5:$B$204,B116))</x:f>
      </x:c>
      <x:c r="J116" s="65" t="str">
        <x:f>IF(I116="","",ROUND(I116*C116,0))</x:f>
      </x:c>
    </x:row>
    <x:row r="117">
      <x:c r="A117" s="56"/>
      <x:c r="B117" s="56"/>
      <x:c r="C117" s="63" t="str">
        <x:f>IF(OR(A117="",B117=""),"",IFERROR(SUMIFS('05_인원분류'!$C$5:$C$204,'05_인원분류'!$A$5:$A$204,A117,'05_인원분류'!$B$5:$B$204,B117),""))</x:f>
      </x:c>
      <x:c r="D117" s="56"/>
      <x:c r="E117" s="56"/>
      <x:c r="F117" s="64"/>
      <x:c r="G117" s="56"/>
      <x:c r="H117" s="56"/>
      <x:c r="I117" s="65" t="str">
        <x:f>IF(OR(A117="",B117=""),"",COUNTIFS($A$5:$A$204,A117,$B$5:$B$204,B117))</x:f>
      </x:c>
      <x:c r="J117" s="65" t="str">
        <x:f>IF(I117="","",ROUND(I117*C117,0))</x:f>
      </x:c>
    </x:row>
    <x:row r="118">
      <x:c r="A118" s="56"/>
      <x:c r="B118" s="56"/>
      <x:c r="C118" s="63" t="str">
        <x:f>IF(OR(A118="",B118=""),"",IFERROR(SUMIFS('05_인원분류'!$C$5:$C$204,'05_인원분류'!$A$5:$A$204,A118,'05_인원분류'!$B$5:$B$204,B118),""))</x:f>
      </x:c>
      <x:c r="D118" s="56"/>
      <x:c r="E118" s="56"/>
      <x:c r="F118" s="64"/>
      <x:c r="G118" s="56"/>
      <x:c r="H118" s="56"/>
      <x:c r="I118" s="65" t="str">
        <x:f>IF(OR(A118="",B118=""),"",COUNTIFS($A$5:$A$204,A118,$B$5:$B$204,B118))</x:f>
      </x:c>
      <x:c r="J118" s="65" t="str">
        <x:f>IF(I118="","",ROUND(I118*C118,0))</x:f>
      </x:c>
    </x:row>
    <x:row r="119">
      <x:c r="A119" s="56"/>
      <x:c r="B119" s="56"/>
      <x:c r="C119" s="63" t="str">
        <x:f>IF(OR(A119="",B119=""),"",IFERROR(SUMIFS('05_인원분류'!$C$5:$C$204,'05_인원분류'!$A$5:$A$204,A119,'05_인원분류'!$B$5:$B$204,B119),""))</x:f>
      </x:c>
      <x:c r="D119" s="56"/>
      <x:c r="E119" s="56"/>
      <x:c r="F119" s="64"/>
      <x:c r="G119" s="56"/>
      <x:c r="H119" s="56"/>
      <x:c r="I119" s="65" t="str">
        <x:f>IF(OR(A119="",B119=""),"",COUNTIFS($A$5:$A$204,A119,$B$5:$B$204,B119))</x:f>
      </x:c>
      <x:c r="J119" s="65" t="str">
        <x:f>IF(I119="","",ROUND(I119*C119,0))</x:f>
      </x:c>
    </x:row>
    <x:row r="120">
      <x:c r="A120" s="56"/>
      <x:c r="B120" s="56"/>
      <x:c r="C120" s="63" t="str">
        <x:f>IF(OR(A120="",B120=""),"",IFERROR(SUMIFS('05_인원분류'!$C$5:$C$204,'05_인원분류'!$A$5:$A$204,A120,'05_인원분류'!$B$5:$B$204,B120),""))</x:f>
      </x:c>
      <x:c r="D120" s="56"/>
      <x:c r="E120" s="56"/>
      <x:c r="F120" s="64"/>
      <x:c r="G120" s="56"/>
      <x:c r="H120" s="56"/>
      <x:c r="I120" s="65" t="str">
        <x:f>IF(OR(A120="",B120=""),"",COUNTIFS($A$5:$A$204,A120,$B$5:$B$204,B120))</x:f>
      </x:c>
      <x:c r="J120" s="65" t="str">
        <x:f>IF(I120="","",ROUND(I120*C120,0))</x:f>
      </x:c>
    </x:row>
    <x:row r="121">
      <x:c r="A121" s="56"/>
      <x:c r="B121" s="56"/>
      <x:c r="C121" s="63" t="str">
        <x:f>IF(OR(A121="",B121=""),"",IFERROR(SUMIFS('05_인원분류'!$C$5:$C$204,'05_인원분류'!$A$5:$A$204,A121,'05_인원분류'!$B$5:$B$204,B121),""))</x:f>
      </x:c>
      <x:c r="D121" s="56"/>
      <x:c r="E121" s="56"/>
      <x:c r="F121" s="64"/>
      <x:c r="G121" s="56"/>
      <x:c r="H121" s="56"/>
      <x:c r="I121" s="65" t="str">
        <x:f>IF(OR(A121="",B121=""),"",COUNTIFS($A$5:$A$204,A121,$B$5:$B$204,B121))</x:f>
      </x:c>
      <x:c r="J121" s="65" t="str">
        <x:f>IF(I121="","",ROUND(I121*C121,0))</x:f>
      </x:c>
    </x:row>
    <x:row r="122">
      <x:c r="A122" s="56"/>
      <x:c r="B122" s="56"/>
      <x:c r="C122" s="63" t="str">
        <x:f>IF(OR(A122="",B122=""),"",IFERROR(SUMIFS('05_인원분류'!$C$5:$C$204,'05_인원분류'!$A$5:$A$204,A122,'05_인원분류'!$B$5:$B$204,B122),""))</x:f>
      </x:c>
      <x:c r="D122" s="56"/>
      <x:c r="E122" s="56"/>
      <x:c r="F122" s="64"/>
      <x:c r="G122" s="56"/>
      <x:c r="H122" s="56"/>
      <x:c r="I122" s="65" t="str">
        <x:f>IF(OR(A122="",B122=""),"",COUNTIFS($A$5:$A$204,A122,$B$5:$B$204,B122))</x:f>
      </x:c>
      <x:c r="J122" s="65" t="str">
        <x:f>IF(I122="","",ROUND(I122*C122,0))</x:f>
      </x:c>
    </x:row>
    <x:row r="123">
      <x:c r="A123" s="56"/>
      <x:c r="B123" s="56"/>
      <x:c r="C123" s="63" t="str">
        <x:f>IF(OR(A123="",B123=""),"",IFERROR(SUMIFS('05_인원분류'!$C$5:$C$204,'05_인원분류'!$A$5:$A$204,A123,'05_인원분류'!$B$5:$B$204,B123),""))</x:f>
      </x:c>
      <x:c r="D123" s="56"/>
      <x:c r="E123" s="56"/>
      <x:c r="F123" s="64"/>
      <x:c r="G123" s="56"/>
      <x:c r="H123" s="56"/>
      <x:c r="I123" s="65" t="str">
        <x:f>IF(OR(A123="",B123=""),"",COUNTIFS($A$5:$A$204,A123,$B$5:$B$204,B123))</x:f>
      </x:c>
      <x:c r="J123" s="65" t="str">
        <x:f>IF(I123="","",ROUND(I123*C123,0))</x:f>
      </x:c>
    </x:row>
    <x:row r="124">
      <x:c r="A124" s="56"/>
      <x:c r="B124" s="56"/>
      <x:c r="C124" s="63" t="str">
        <x:f>IF(OR(A124="",B124=""),"",IFERROR(SUMIFS('05_인원분류'!$C$5:$C$204,'05_인원분류'!$A$5:$A$204,A124,'05_인원분류'!$B$5:$B$204,B124),""))</x:f>
      </x:c>
      <x:c r="D124" s="56"/>
      <x:c r="E124" s="56"/>
      <x:c r="F124" s="64"/>
      <x:c r="G124" s="56"/>
      <x:c r="H124" s="56"/>
      <x:c r="I124" s="65" t="str">
        <x:f>IF(OR(A124="",B124=""),"",COUNTIFS($A$5:$A$204,A124,$B$5:$B$204,B124))</x:f>
      </x:c>
      <x:c r="J124" s="65" t="str">
        <x:f>IF(I124="","",ROUND(I124*C124,0))</x:f>
      </x:c>
    </x:row>
    <x:row r="125">
      <x:c r="A125" s="56"/>
      <x:c r="B125" s="56"/>
      <x:c r="C125" s="63" t="str">
        <x:f>IF(OR(A125="",B125=""),"",IFERROR(SUMIFS('05_인원분류'!$C$5:$C$204,'05_인원분류'!$A$5:$A$204,A125,'05_인원분류'!$B$5:$B$204,B125),""))</x:f>
      </x:c>
      <x:c r="D125" s="56"/>
      <x:c r="E125" s="56"/>
      <x:c r="F125" s="64"/>
      <x:c r="G125" s="56"/>
      <x:c r="H125" s="56"/>
      <x:c r="I125" s="65" t="str">
        <x:f>IF(OR(A125="",B125=""),"",COUNTIFS($A$5:$A$204,A125,$B$5:$B$204,B125))</x:f>
      </x:c>
      <x:c r="J125" s="65" t="str">
        <x:f>IF(I125="","",ROUND(I125*C125,0))</x:f>
      </x:c>
    </x:row>
    <x:row r="126">
      <x:c r="A126" s="56"/>
      <x:c r="B126" s="56"/>
      <x:c r="C126" s="63" t="str">
        <x:f>IF(OR(A126="",B126=""),"",IFERROR(SUMIFS('05_인원분류'!$C$5:$C$204,'05_인원분류'!$A$5:$A$204,A126,'05_인원분류'!$B$5:$B$204,B126),""))</x:f>
      </x:c>
      <x:c r="D126" s="56"/>
      <x:c r="E126" s="56"/>
      <x:c r="F126" s="64"/>
      <x:c r="G126" s="56"/>
      <x:c r="H126" s="56"/>
      <x:c r="I126" s="65" t="str">
        <x:f>IF(OR(A126="",B126=""),"",COUNTIFS($A$5:$A$204,A126,$B$5:$B$204,B126))</x:f>
      </x:c>
      <x:c r="J126" s="65" t="str">
        <x:f>IF(I126="","",ROUND(I126*C126,0))</x:f>
      </x:c>
    </x:row>
    <x:row r="127">
      <x:c r="A127" s="56"/>
      <x:c r="B127" s="56"/>
      <x:c r="C127" s="63" t="str">
        <x:f>IF(OR(A127="",B127=""),"",IFERROR(SUMIFS('05_인원분류'!$C$5:$C$204,'05_인원분류'!$A$5:$A$204,A127,'05_인원분류'!$B$5:$B$204,B127),""))</x:f>
      </x:c>
      <x:c r="D127" s="56"/>
      <x:c r="E127" s="56"/>
      <x:c r="F127" s="64"/>
      <x:c r="G127" s="56"/>
      <x:c r="H127" s="56"/>
      <x:c r="I127" s="65" t="str">
        <x:f>IF(OR(A127="",B127=""),"",COUNTIFS($A$5:$A$204,A127,$B$5:$B$204,B127))</x:f>
      </x:c>
      <x:c r="J127" s="65" t="str">
        <x:f>IF(I127="","",ROUND(I127*C127,0))</x:f>
      </x:c>
    </x:row>
    <x:row r="128">
      <x:c r="A128" s="56"/>
      <x:c r="B128" s="56"/>
      <x:c r="C128" s="63" t="str">
        <x:f>IF(OR(A128="",B128=""),"",IFERROR(SUMIFS('05_인원분류'!$C$5:$C$204,'05_인원분류'!$A$5:$A$204,A128,'05_인원분류'!$B$5:$B$204,B128),""))</x:f>
      </x:c>
      <x:c r="D128" s="56"/>
      <x:c r="E128" s="56"/>
      <x:c r="F128" s="64"/>
      <x:c r="G128" s="56"/>
      <x:c r="H128" s="56"/>
      <x:c r="I128" s="65" t="str">
        <x:f>IF(OR(A128="",B128=""),"",COUNTIFS($A$5:$A$204,A128,$B$5:$B$204,B128))</x:f>
      </x:c>
      <x:c r="J128" s="65" t="str">
        <x:f>IF(I128="","",ROUND(I128*C128,0))</x:f>
      </x:c>
    </x:row>
    <x:row r="129">
      <x:c r="A129" s="56"/>
      <x:c r="B129" s="56"/>
      <x:c r="C129" s="63" t="str">
        <x:f>IF(OR(A129="",B129=""),"",IFERROR(SUMIFS('05_인원분류'!$C$5:$C$204,'05_인원분류'!$A$5:$A$204,A129,'05_인원분류'!$B$5:$B$204,B129),""))</x:f>
      </x:c>
      <x:c r="D129" s="56"/>
      <x:c r="E129" s="56"/>
      <x:c r="F129" s="64"/>
      <x:c r="G129" s="56"/>
      <x:c r="H129" s="56"/>
      <x:c r="I129" s="65" t="str">
        <x:f>IF(OR(A129="",B129=""),"",COUNTIFS($A$5:$A$204,A129,$B$5:$B$204,B129))</x:f>
      </x:c>
      <x:c r="J129" s="65" t="str">
        <x:f>IF(I129="","",ROUND(I129*C129,0))</x:f>
      </x:c>
    </x:row>
    <x:row r="130">
      <x:c r="A130" s="56"/>
      <x:c r="B130" s="56"/>
      <x:c r="C130" s="63" t="str">
        <x:f>IF(OR(A130="",B130=""),"",IFERROR(SUMIFS('05_인원분류'!$C$5:$C$204,'05_인원분류'!$A$5:$A$204,A130,'05_인원분류'!$B$5:$B$204,B130),""))</x:f>
      </x:c>
      <x:c r="D130" s="56"/>
      <x:c r="E130" s="56"/>
      <x:c r="F130" s="64"/>
      <x:c r="G130" s="56"/>
      <x:c r="H130" s="56"/>
      <x:c r="I130" s="65" t="str">
        <x:f>IF(OR(A130="",B130=""),"",COUNTIFS($A$5:$A$204,A130,$B$5:$B$204,B130))</x:f>
      </x:c>
      <x:c r="J130" s="65" t="str">
        <x:f>IF(I130="","",ROUND(I130*C130,0))</x:f>
      </x:c>
    </x:row>
    <x:row r="131">
      <x:c r="A131" s="56"/>
      <x:c r="B131" s="56"/>
      <x:c r="C131" s="63" t="str">
        <x:f>IF(OR(A131="",B131=""),"",IFERROR(SUMIFS('05_인원분류'!$C$5:$C$204,'05_인원분류'!$A$5:$A$204,A131,'05_인원분류'!$B$5:$B$204,B131),""))</x:f>
      </x:c>
      <x:c r="D131" s="56"/>
      <x:c r="E131" s="56"/>
      <x:c r="F131" s="64"/>
      <x:c r="G131" s="56"/>
      <x:c r="H131" s="56"/>
      <x:c r="I131" s="65" t="str">
        <x:f>IF(OR(A131="",B131=""),"",COUNTIFS($A$5:$A$204,A131,$B$5:$B$204,B131))</x:f>
      </x:c>
      <x:c r="J131" s="65" t="str">
        <x:f>IF(I131="","",ROUND(I131*C131,0))</x:f>
      </x:c>
    </x:row>
    <x:row r="132">
      <x:c r="A132" s="56"/>
      <x:c r="B132" s="56"/>
      <x:c r="C132" s="63" t="str">
        <x:f>IF(OR(A132="",B132=""),"",IFERROR(SUMIFS('05_인원분류'!$C$5:$C$204,'05_인원분류'!$A$5:$A$204,A132,'05_인원분류'!$B$5:$B$204,B132),""))</x:f>
      </x:c>
      <x:c r="D132" s="56"/>
      <x:c r="E132" s="56"/>
      <x:c r="F132" s="64"/>
      <x:c r="G132" s="56"/>
      <x:c r="H132" s="56"/>
      <x:c r="I132" s="65" t="str">
        <x:f>IF(OR(A132="",B132=""),"",COUNTIFS($A$5:$A$204,A132,$B$5:$B$204,B132))</x:f>
      </x:c>
      <x:c r="J132" s="65" t="str">
        <x:f>IF(I132="","",ROUND(I132*C132,0))</x:f>
      </x:c>
    </x:row>
    <x:row r="133">
      <x:c r="A133" s="56"/>
      <x:c r="B133" s="56"/>
      <x:c r="C133" s="63" t="str">
        <x:f>IF(OR(A133="",B133=""),"",IFERROR(SUMIFS('05_인원분류'!$C$5:$C$204,'05_인원분류'!$A$5:$A$204,A133,'05_인원분류'!$B$5:$B$204,B133),""))</x:f>
      </x:c>
      <x:c r="D133" s="56"/>
      <x:c r="E133" s="56"/>
      <x:c r="F133" s="64"/>
      <x:c r="G133" s="56"/>
      <x:c r="H133" s="56"/>
      <x:c r="I133" s="65" t="str">
        <x:f>IF(OR(A133="",B133=""),"",COUNTIFS($A$5:$A$204,A133,$B$5:$B$204,B133))</x:f>
      </x:c>
      <x:c r="J133" s="65" t="str">
        <x:f>IF(I133="","",ROUND(I133*C133,0))</x:f>
      </x:c>
    </x:row>
    <x:row r="134">
      <x:c r="A134" s="56"/>
      <x:c r="B134" s="56"/>
      <x:c r="C134" s="63" t="str">
        <x:f>IF(OR(A134="",B134=""),"",IFERROR(SUMIFS('05_인원분류'!$C$5:$C$204,'05_인원분류'!$A$5:$A$204,A134,'05_인원분류'!$B$5:$B$204,B134),""))</x:f>
      </x:c>
      <x:c r="D134" s="56"/>
      <x:c r="E134" s="56"/>
      <x:c r="F134" s="64"/>
      <x:c r="G134" s="56"/>
      <x:c r="H134" s="56"/>
      <x:c r="I134" s="65" t="str">
        <x:f>IF(OR(A134="",B134=""),"",COUNTIFS($A$5:$A$204,A134,$B$5:$B$204,B134))</x:f>
      </x:c>
      <x:c r="J134" s="65" t="str">
        <x:f>IF(I134="","",ROUND(I134*C134,0))</x:f>
      </x:c>
    </x:row>
    <x:row r="135">
      <x:c r="A135" s="56"/>
      <x:c r="B135" s="56"/>
      <x:c r="C135" s="63" t="str">
        <x:f>IF(OR(A135="",B135=""),"",IFERROR(SUMIFS('05_인원분류'!$C$5:$C$204,'05_인원분류'!$A$5:$A$204,A135,'05_인원분류'!$B$5:$B$204,B135),""))</x:f>
      </x:c>
      <x:c r="D135" s="56"/>
      <x:c r="E135" s="56"/>
      <x:c r="F135" s="64"/>
      <x:c r="G135" s="56"/>
      <x:c r="H135" s="56"/>
      <x:c r="I135" s="65" t="str">
        <x:f>IF(OR(A135="",B135=""),"",COUNTIFS($A$5:$A$204,A135,$B$5:$B$204,B135))</x:f>
      </x:c>
      <x:c r="J135" s="65" t="str">
        <x:f>IF(I135="","",ROUND(I135*C135,0))</x:f>
      </x:c>
    </x:row>
    <x:row r="136">
      <x:c r="A136" s="56"/>
      <x:c r="B136" s="56"/>
      <x:c r="C136" s="63" t="str">
        <x:f>IF(OR(A136="",B136=""),"",IFERROR(SUMIFS('05_인원분류'!$C$5:$C$204,'05_인원분류'!$A$5:$A$204,A136,'05_인원분류'!$B$5:$B$204,B136),""))</x:f>
      </x:c>
      <x:c r="D136" s="56"/>
      <x:c r="E136" s="56"/>
      <x:c r="F136" s="64"/>
      <x:c r="G136" s="56"/>
      <x:c r="H136" s="56"/>
      <x:c r="I136" s="65" t="str">
        <x:f>IF(OR(A136="",B136=""),"",COUNTIFS($A$5:$A$204,A136,$B$5:$B$204,B136))</x:f>
      </x:c>
      <x:c r="J136" s="65" t="str">
        <x:f>IF(I136="","",ROUND(I136*C136,0))</x:f>
      </x:c>
    </x:row>
    <x:row r="137">
      <x:c r="A137" s="56"/>
      <x:c r="B137" s="56"/>
      <x:c r="C137" s="63" t="str">
        <x:f>IF(OR(A137="",B137=""),"",IFERROR(SUMIFS('05_인원분류'!$C$5:$C$204,'05_인원분류'!$A$5:$A$204,A137,'05_인원분류'!$B$5:$B$204,B137),""))</x:f>
      </x:c>
      <x:c r="D137" s="56"/>
      <x:c r="E137" s="56"/>
      <x:c r="F137" s="64"/>
      <x:c r="G137" s="56"/>
      <x:c r="H137" s="56"/>
      <x:c r="I137" s="65" t="str">
        <x:f>IF(OR(A137="",B137=""),"",COUNTIFS($A$5:$A$204,A137,$B$5:$B$204,B137))</x:f>
      </x:c>
      <x:c r="J137" s="65" t="str">
        <x:f>IF(I137="","",ROUND(I137*C137,0))</x:f>
      </x:c>
    </x:row>
    <x:row r="138">
      <x:c r="A138" s="56"/>
      <x:c r="B138" s="56"/>
      <x:c r="C138" s="63" t="str">
        <x:f>IF(OR(A138="",B138=""),"",IFERROR(SUMIFS('05_인원분류'!$C$5:$C$204,'05_인원분류'!$A$5:$A$204,A138,'05_인원분류'!$B$5:$B$204,B138),""))</x:f>
      </x:c>
      <x:c r="D138" s="56"/>
      <x:c r="E138" s="56"/>
      <x:c r="F138" s="64"/>
      <x:c r="G138" s="56"/>
      <x:c r="H138" s="56"/>
      <x:c r="I138" s="65" t="str">
        <x:f>IF(OR(A138="",B138=""),"",COUNTIFS($A$5:$A$204,A138,$B$5:$B$204,B138))</x:f>
      </x:c>
      <x:c r="J138" s="65" t="str">
        <x:f>IF(I138="","",ROUND(I138*C138,0))</x:f>
      </x:c>
    </x:row>
    <x:row r="139">
      <x:c r="A139" s="56"/>
      <x:c r="B139" s="56"/>
      <x:c r="C139" s="63" t="str">
        <x:f>IF(OR(A139="",B139=""),"",IFERROR(SUMIFS('05_인원분류'!$C$5:$C$204,'05_인원분류'!$A$5:$A$204,A139,'05_인원분류'!$B$5:$B$204,B139),""))</x:f>
      </x:c>
      <x:c r="D139" s="56"/>
      <x:c r="E139" s="56"/>
      <x:c r="F139" s="64"/>
      <x:c r="G139" s="56"/>
      <x:c r="H139" s="56"/>
      <x:c r="I139" s="65" t="str">
        <x:f>IF(OR(A139="",B139=""),"",COUNTIFS($A$5:$A$204,A139,$B$5:$B$204,B139))</x:f>
      </x:c>
      <x:c r="J139" s="65" t="str">
        <x:f>IF(I139="","",ROUND(I139*C139,0))</x:f>
      </x:c>
    </x:row>
    <x:row r="140">
      <x:c r="A140" s="56"/>
      <x:c r="B140" s="56"/>
      <x:c r="C140" s="63" t="str">
        <x:f>IF(OR(A140="",B140=""),"",IFERROR(SUMIFS('05_인원분류'!$C$5:$C$204,'05_인원분류'!$A$5:$A$204,A140,'05_인원분류'!$B$5:$B$204,B140),""))</x:f>
      </x:c>
      <x:c r="D140" s="56"/>
      <x:c r="E140" s="56"/>
      <x:c r="F140" s="64"/>
      <x:c r="G140" s="56"/>
      <x:c r="H140" s="56"/>
      <x:c r="I140" s="65" t="str">
        <x:f>IF(OR(A140="",B140=""),"",COUNTIFS($A$5:$A$204,A140,$B$5:$B$204,B140))</x:f>
      </x:c>
      <x:c r="J140" s="65" t="str">
        <x:f>IF(I140="","",ROUND(I140*C140,0))</x:f>
      </x:c>
    </x:row>
    <x:row r="141">
      <x:c r="A141" s="56"/>
      <x:c r="B141" s="56"/>
      <x:c r="C141" s="63" t="str">
        <x:f>IF(OR(A141="",B141=""),"",IFERROR(SUMIFS('05_인원분류'!$C$5:$C$204,'05_인원분류'!$A$5:$A$204,A141,'05_인원분류'!$B$5:$B$204,B141),""))</x:f>
      </x:c>
      <x:c r="D141" s="56"/>
      <x:c r="E141" s="56"/>
      <x:c r="F141" s="64"/>
      <x:c r="G141" s="56"/>
      <x:c r="H141" s="56"/>
      <x:c r="I141" s="65" t="str">
        <x:f>IF(OR(A141="",B141=""),"",COUNTIFS($A$5:$A$204,A141,$B$5:$B$204,B141))</x:f>
      </x:c>
      <x:c r="J141" s="65" t="str">
        <x:f>IF(I141="","",ROUND(I141*C141,0))</x:f>
      </x:c>
    </x:row>
    <x:row r="142">
      <x:c r="A142" s="56"/>
      <x:c r="B142" s="56"/>
      <x:c r="C142" s="63" t="str">
        <x:f>IF(OR(A142="",B142=""),"",IFERROR(SUMIFS('05_인원분류'!$C$5:$C$204,'05_인원분류'!$A$5:$A$204,A142,'05_인원분류'!$B$5:$B$204,B142),""))</x:f>
      </x:c>
      <x:c r="D142" s="56"/>
      <x:c r="E142" s="56"/>
      <x:c r="F142" s="64"/>
      <x:c r="G142" s="56"/>
      <x:c r="H142" s="56"/>
      <x:c r="I142" s="65" t="str">
        <x:f>IF(OR(A142="",B142=""),"",COUNTIFS($A$5:$A$204,A142,$B$5:$B$204,B142))</x:f>
      </x:c>
      <x:c r="J142" s="65" t="str">
        <x:f>IF(I142="","",ROUND(I142*C142,0))</x:f>
      </x:c>
    </x:row>
    <x:row r="143">
      <x:c r="A143" s="56"/>
      <x:c r="B143" s="56"/>
      <x:c r="C143" s="63" t="str">
        <x:f>IF(OR(A143="",B143=""),"",IFERROR(SUMIFS('05_인원분류'!$C$5:$C$204,'05_인원분류'!$A$5:$A$204,A143,'05_인원분류'!$B$5:$B$204,B143),""))</x:f>
      </x:c>
      <x:c r="D143" s="56"/>
      <x:c r="E143" s="56"/>
      <x:c r="F143" s="64"/>
      <x:c r="G143" s="56"/>
      <x:c r="H143" s="56"/>
      <x:c r="I143" s="65" t="str">
        <x:f>IF(OR(A143="",B143=""),"",COUNTIFS($A$5:$A$204,A143,$B$5:$B$204,B143))</x:f>
      </x:c>
      <x:c r="J143" s="65" t="str">
        <x:f>IF(I143="","",ROUND(I143*C143,0))</x:f>
      </x:c>
    </x:row>
    <x:row r="144">
      <x:c r="A144" s="56"/>
      <x:c r="B144" s="56"/>
      <x:c r="C144" s="63" t="str">
        <x:f>IF(OR(A144="",B144=""),"",IFERROR(SUMIFS('05_인원분류'!$C$5:$C$204,'05_인원분류'!$A$5:$A$204,A144,'05_인원분류'!$B$5:$B$204,B144),""))</x:f>
      </x:c>
      <x:c r="D144" s="56"/>
      <x:c r="E144" s="56"/>
      <x:c r="F144" s="64"/>
      <x:c r="G144" s="56"/>
      <x:c r="H144" s="56"/>
      <x:c r="I144" s="65" t="str">
        <x:f>IF(OR(A144="",B144=""),"",COUNTIFS($A$5:$A$204,A144,$B$5:$B$204,B144))</x:f>
      </x:c>
      <x:c r="J144" s="65" t="str">
        <x:f>IF(I144="","",ROUND(I144*C144,0))</x:f>
      </x:c>
    </x:row>
    <x:row r="145">
      <x:c r="A145" s="56"/>
      <x:c r="B145" s="56"/>
      <x:c r="C145" s="63" t="str">
        <x:f>IF(OR(A145="",B145=""),"",IFERROR(SUMIFS('05_인원분류'!$C$5:$C$204,'05_인원분류'!$A$5:$A$204,A145,'05_인원분류'!$B$5:$B$204,B145),""))</x:f>
      </x:c>
      <x:c r="D145" s="56"/>
      <x:c r="E145" s="56"/>
      <x:c r="F145" s="64"/>
      <x:c r="G145" s="56"/>
      <x:c r="H145" s="56"/>
      <x:c r="I145" s="65" t="str">
        <x:f>IF(OR(A145="",B145=""),"",COUNTIFS($A$5:$A$204,A145,$B$5:$B$204,B145))</x:f>
      </x:c>
      <x:c r="J145" s="65" t="str">
        <x:f>IF(I145="","",ROUND(I145*C145,0))</x:f>
      </x:c>
    </x:row>
    <x:row r="146">
      <x:c r="A146" s="56"/>
      <x:c r="B146" s="56"/>
      <x:c r="C146" s="63" t="str">
        <x:f>IF(OR(A146="",B146=""),"",IFERROR(SUMIFS('05_인원분류'!$C$5:$C$204,'05_인원분류'!$A$5:$A$204,A146,'05_인원분류'!$B$5:$B$204,B146),""))</x:f>
      </x:c>
      <x:c r="D146" s="56"/>
      <x:c r="E146" s="56"/>
      <x:c r="F146" s="64"/>
      <x:c r="G146" s="56"/>
      <x:c r="H146" s="56"/>
      <x:c r="I146" s="65" t="str">
        <x:f>IF(OR(A146="",B146=""),"",COUNTIFS($A$5:$A$204,A146,$B$5:$B$204,B146))</x:f>
      </x:c>
      <x:c r="J146" s="65" t="str">
        <x:f>IF(I146="","",ROUND(I146*C146,0))</x:f>
      </x:c>
    </x:row>
    <x:row r="147">
      <x:c r="A147" s="56"/>
      <x:c r="B147" s="56"/>
      <x:c r="C147" s="63" t="str">
        <x:f>IF(OR(A147="",B147=""),"",IFERROR(SUMIFS('05_인원분류'!$C$5:$C$204,'05_인원분류'!$A$5:$A$204,A147,'05_인원분류'!$B$5:$B$204,B147),""))</x:f>
      </x:c>
      <x:c r="D147" s="56"/>
      <x:c r="E147" s="56"/>
      <x:c r="F147" s="64"/>
      <x:c r="G147" s="56"/>
      <x:c r="H147" s="56"/>
      <x:c r="I147" s="65" t="str">
        <x:f>IF(OR(A147="",B147=""),"",COUNTIFS($A$5:$A$204,A147,$B$5:$B$204,B147))</x:f>
      </x:c>
      <x:c r="J147" s="65" t="str">
        <x:f>IF(I147="","",ROUND(I147*C147,0))</x:f>
      </x:c>
    </x:row>
    <x:row r="148">
      <x:c r="A148" s="56"/>
      <x:c r="B148" s="56"/>
      <x:c r="C148" s="63" t="str">
        <x:f>IF(OR(A148="",B148=""),"",IFERROR(SUMIFS('05_인원분류'!$C$5:$C$204,'05_인원분류'!$A$5:$A$204,A148,'05_인원분류'!$B$5:$B$204,B148),""))</x:f>
      </x:c>
      <x:c r="D148" s="56"/>
      <x:c r="E148" s="56"/>
      <x:c r="F148" s="64"/>
      <x:c r="G148" s="56"/>
      <x:c r="H148" s="56"/>
      <x:c r="I148" s="65" t="str">
        <x:f>IF(OR(A148="",B148=""),"",COUNTIFS($A$5:$A$204,A148,$B$5:$B$204,B148))</x:f>
      </x:c>
      <x:c r="J148" s="65" t="str">
        <x:f>IF(I148="","",ROUND(I148*C148,0))</x:f>
      </x:c>
    </x:row>
    <x:row r="149">
      <x:c r="A149" s="56"/>
      <x:c r="B149" s="56"/>
      <x:c r="C149" s="63" t="str">
        <x:f>IF(OR(A149="",B149=""),"",IFERROR(SUMIFS('05_인원분류'!$C$5:$C$204,'05_인원분류'!$A$5:$A$204,A149,'05_인원분류'!$B$5:$B$204,B149),""))</x:f>
      </x:c>
      <x:c r="D149" s="56"/>
      <x:c r="E149" s="56"/>
      <x:c r="F149" s="64"/>
      <x:c r="G149" s="56"/>
      <x:c r="H149" s="56"/>
      <x:c r="I149" s="65" t="str">
        <x:f>IF(OR(A149="",B149=""),"",COUNTIFS($A$5:$A$204,A149,$B$5:$B$204,B149))</x:f>
      </x:c>
      <x:c r="J149" s="65" t="str">
        <x:f>IF(I149="","",ROUND(I149*C149,0))</x:f>
      </x:c>
    </x:row>
    <x:row r="150">
      <x:c r="A150" s="56"/>
      <x:c r="B150" s="56"/>
      <x:c r="C150" s="63" t="str">
        <x:f>IF(OR(A150="",B150=""),"",IFERROR(SUMIFS('05_인원분류'!$C$5:$C$204,'05_인원분류'!$A$5:$A$204,A150,'05_인원분류'!$B$5:$B$204,B150),""))</x:f>
      </x:c>
      <x:c r="D150" s="56"/>
      <x:c r="E150" s="56"/>
      <x:c r="F150" s="64"/>
      <x:c r="G150" s="56"/>
      <x:c r="H150" s="56"/>
      <x:c r="I150" s="65" t="str">
        <x:f>IF(OR(A150="",B150=""),"",COUNTIFS($A$5:$A$204,A150,$B$5:$B$204,B150))</x:f>
      </x:c>
      <x:c r="J150" s="65" t="str">
        <x:f>IF(I150="","",ROUND(I150*C150,0))</x:f>
      </x:c>
    </x:row>
    <x:row r="151">
      <x:c r="A151" s="56"/>
      <x:c r="B151" s="56"/>
      <x:c r="C151" s="63" t="str">
        <x:f>IF(OR(A151="",B151=""),"",IFERROR(SUMIFS('05_인원분류'!$C$5:$C$204,'05_인원분류'!$A$5:$A$204,A151,'05_인원분류'!$B$5:$B$204,B151),""))</x:f>
      </x:c>
      <x:c r="D151" s="56"/>
      <x:c r="E151" s="56"/>
      <x:c r="F151" s="64"/>
      <x:c r="G151" s="56"/>
      <x:c r="H151" s="56"/>
      <x:c r="I151" s="65" t="str">
        <x:f>IF(OR(A151="",B151=""),"",COUNTIFS($A$5:$A$204,A151,$B$5:$B$204,B151))</x:f>
      </x:c>
      <x:c r="J151" s="65" t="str">
        <x:f>IF(I151="","",ROUND(I151*C151,0))</x:f>
      </x:c>
    </x:row>
    <x:row r="152">
      <x:c r="A152" s="56"/>
      <x:c r="B152" s="56"/>
      <x:c r="C152" s="63" t="str">
        <x:f>IF(OR(A152="",B152=""),"",IFERROR(SUMIFS('05_인원분류'!$C$5:$C$204,'05_인원분류'!$A$5:$A$204,A152,'05_인원분류'!$B$5:$B$204,B152),""))</x:f>
      </x:c>
      <x:c r="D152" s="56"/>
      <x:c r="E152" s="56"/>
      <x:c r="F152" s="64"/>
      <x:c r="G152" s="56"/>
      <x:c r="H152" s="56"/>
      <x:c r="I152" s="65" t="str">
        <x:f>IF(OR(A152="",B152=""),"",COUNTIFS($A$5:$A$204,A152,$B$5:$B$204,B152))</x:f>
      </x:c>
      <x:c r="J152" s="65" t="str">
        <x:f>IF(I152="","",ROUND(I152*C152,0))</x:f>
      </x:c>
    </x:row>
    <x:row r="153">
      <x:c r="A153" s="56"/>
      <x:c r="B153" s="56"/>
      <x:c r="C153" s="63" t="str">
        <x:f>IF(OR(A153="",B153=""),"",IFERROR(SUMIFS('05_인원분류'!$C$5:$C$204,'05_인원분류'!$A$5:$A$204,A153,'05_인원분류'!$B$5:$B$204,B153),""))</x:f>
      </x:c>
      <x:c r="D153" s="56"/>
      <x:c r="E153" s="56"/>
      <x:c r="F153" s="64"/>
      <x:c r="G153" s="56"/>
      <x:c r="H153" s="56"/>
      <x:c r="I153" s="65" t="str">
        <x:f>IF(OR(A153="",B153=""),"",COUNTIFS($A$5:$A$204,A153,$B$5:$B$204,B153))</x:f>
      </x:c>
      <x:c r="J153" s="65" t="str">
        <x:f>IF(I153="","",ROUND(I153*C153,0))</x:f>
      </x:c>
    </x:row>
    <x:row r="154">
      <x:c r="A154" s="56"/>
      <x:c r="B154" s="56"/>
      <x:c r="C154" s="63" t="str">
        <x:f>IF(OR(A154="",B154=""),"",IFERROR(SUMIFS('05_인원분류'!$C$5:$C$204,'05_인원분류'!$A$5:$A$204,A154,'05_인원분류'!$B$5:$B$204,B154),""))</x:f>
      </x:c>
      <x:c r="D154" s="56"/>
      <x:c r="E154" s="56"/>
      <x:c r="F154" s="64"/>
      <x:c r="G154" s="56"/>
      <x:c r="H154" s="56"/>
      <x:c r="I154" s="65" t="str">
        <x:f>IF(OR(A154="",B154=""),"",COUNTIFS($A$5:$A$204,A154,$B$5:$B$204,B154))</x:f>
      </x:c>
      <x:c r="J154" s="65" t="str">
        <x:f>IF(I154="","",ROUND(I154*C154,0))</x:f>
      </x:c>
    </x:row>
    <x:row r="155">
      <x:c r="A155" s="56"/>
      <x:c r="B155" s="56"/>
      <x:c r="C155" s="63" t="str">
        <x:f>IF(OR(A155="",B155=""),"",IFERROR(SUMIFS('05_인원분류'!$C$5:$C$204,'05_인원분류'!$A$5:$A$204,A155,'05_인원분류'!$B$5:$B$204,B155),""))</x:f>
      </x:c>
      <x:c r="D155" s="56"/>
      <x:c r="E155" s="56"/>
      <x:c r="F155" s="64"/>
      <x:c r="G155" s="56"/>
      <x:c r="H155" s="56"/>
      <x:c r="I155" s="65" t="str">
        <x:f>IF(OR(A155="",B155=""),"",COUNTIFS($A$5:$A$204,A155,$B$5:$B$204,B155))</x:f>
      </x:c>
      <x:c r="J155" s="65" t="str">
        <x:f>IF(I155="","",ROUND(I155*C155,0))</x:f>
      </x:c>
    </x:row>
    <x:row r="156">
      <x:c r="A156" s="56"/>
      <x:c r="B156" s="56"/>
      <x:c r="C156" s="63" t="str">
        <x:f>IF(OR(A156="",B156=""),"",IFERROR(SUMIFS('05_인원분류'!$C$5:$C$204,'05_인원분류'!$A$5:$A$204,A156,'05_인원분류'!$B$5:$B$204,B156),""))</x:f>
      </x:c>
      <x:c r="D156" s="56"/>
      <x:c r="E156" s="56"/>
      <x:c r="F156" s="64"/>
      <x:c r="G156" s="56"/>
      <x:c r="H156" s="56"/>
      <x:c r="I156" s="65" t="str">
        <x:f>IF(OR(A156="",B156=""),"",COUNTIFS($A$5:$A$204,A156,$B$5:$B$204,B156))</x:f>
      </x:c>
      <x:c r="J156" s="65" t="str">
        <x:f>IF(I156="","",ROUND(I156*C156,0))</x:f>
      </x:c>
    </x:row>
    <x:row r="157">
      <x:c r="A157" s="56"/>
      <x:c r="B157" s="56"/>
      <x:c r="C157" s="63" t="str">
        <x:f>IF(OR(A157="",B157=""),"",IFERROR(SUMIFS('05_인원분류'!$C$5:$C$204,'05_인원분류'!$A$5:$A$204,A157,'05_인원분류'!$B$5:$B$204,B157),""))</x:f>
      </x:c>
      <x:c r="D157" s="56"/>
      <x:c r="E157" s="56"/>
      <x:c r="F157" s="64"/>
      <x:c r="G157" s="56"/>
      <x:c r="H157" s="56"/>
      <x:c r="I157" s="65" t="str">
        <x:f>IF(OR(A157="",B157=""),"",COUNTIFS($A$5:$A$204,A157,$B$5:$B$204,B157))</x:f>
      </x:c>
      <x:c r="J157" s="65" t="str">
        <x:f>IF(I157="","",ROUND(I157*C157,0))</x:f>
      </x:c>
    </x:row>
    <x:row r="158">
      <x:c r="A158" s="56"/>
      <x:c r="B158" s="56"/>
      <x:c r="C158" s="63" t="str">
        <x:f>IF(OR(A158="",B158=""),"",IFERROR(SUMIFS('05_인원분류'!$C$5:$C$204,'05_인원분류'!$A$5:$A$204,A158,'05_인원분류'!$B$5:$B$204,B158),""))</x:f>
      </x:c>
      <x:c r="D158" s="56"/>
      <x:c r="E158" s="56"/>
      <x:c r="F158" s="64"/>
      <x:c r="G158" s="56"/>
      <x:c r="H158" s="56"/>
      <x:c r="I158" s="65" t="str">
        <x:f>IF(OR(A158="",B158=""),"",COUNTIFS($A$5:$A$204,A158,$B$5:$B$204,B158))</x:f>
      </x:c>
      <x:c r="J158" s="65" t="str">
        <x:f>IF(I158="","",ROUND(I158*C158,0))</x:f>
      </x:c>
    </x:row>
    <x:row r="159">
      <x:c r="A159" s="56"/>
      <x:c r="B159" s="56"/>
      <x:c r="C159" s="63" t="str">
        <x:f>IF(OR(A159="",B159=""),"",IFERROR(SUMIFS('05_인원분류'!$C$5:$C$204,'05_인원분류'!$A$5:$A$204,A159,'05_인원분류'!$B$5:$B$204,B159),""))</x:f>
      </x:c>
      <x:c r="D159" s="56"/>
      <x:c r="E159" s="56"/>
      <x:c r="F159" s="64"/>
      <x:c r="G159" s="56"/>
      <x:c r="H159" s="56"/>
      <x:c r="I159" s="65" t="str">
        <x:f>IF(OR(A159="",B159=""),"",COUNTIFS($A$5:$A$204,A159,$B$5:$B$204,B159))</x:f>
      </x:c>
      <x:c r="J159" s="65" t="str">
        <x:f>IF(I159="","",ROUND(I159*C159,0))</x:f>
      </x:c>
    </x:row>
    <x:row r="160">
      <x:c r="A160" s="56"/>
      <x:c r="B160" s="56"/>
      <x:c r="C160" s="63" t="str">
        <x:f>IF(OR(A160="",B160=""),"",IFERROR(SUMIFS('05_인원분류'!$C$5:$C$204,'05_인원분류'!$A$5:$A$204,A160,'05_인원분류'!$B$5:$B$204,B160),""))</x:f>
      </x:c>
      <x:c r="D160" s="56"/>
      <x:c r="E160" s="56"/>
      <x:c r="F160" s="64"/>
      <x:c r="G160" s="56"/>
      <x:c r="H160" s="56"/>
      <x:c r="I160" s="65" t="str">
        <x:f>IF(OR(A160="",B160=""),"",COUNTIFS($A$5:$A$204,A160,$B$5:$B$204,B160))</x:f>
      </x:c>
      <x:c r="J160" s="65" t="str">
        <x:f>IF(I160="","",ROUND(I160*C160,0))</x:f>
      </x:c>
    </x:row>
    <x:row r="161">
      <x:c r="A161" s="56"/>
      <x:c r="B161" s="56"/>
      <x:c r="C161" s="63" t="str">
        <x:f>IF(OR(A161="",B161=""),"",IFERROR(SUMIFS('05_인원분류'!$C$5:$C$204,'05_인원분류'!$A$5:$A$204,A161,'05_인원분류'!$B$5:$B$204,B161),""))</x:f>
      </x:c>
      <x:c r="D161" s="56"/>
      <x:c r="E161" s="56"/>
      <x:c r="F161" s="64"/>
      <x:c r="G161" s="56"/>
      <x:c r="H161" s="56"/>
      <x:c r="I161" s="65" t="str">
        <x:f>IF(OR(A161="",B161=""),"",COUNTIFS($A$5:$A$204,A161,$B$5:$B$204,B161))</x:f>
      </x:c>
      <x:c r="J161" s="65" t="str">
        <x:f>IF(I161="","",ROUND(I161*C161,0))</x:f>
      </x:c>
    </x:row>
    <x:row r="162">
      <x:c r="A162" s="56"/>
      <x:c r="B162" s="56"/>
      <x:c r="C162" s="63" t="str">
        <x:f>IF(OR(A162="",B162=""),"",IFERROR(SUMIFS('05_인원분류'!$C$5:$C$204,'05_인원분류'!$A$5:$A$204,A162,'05_인원분류'!$B$5:$B$204,B162),""))</x:f>
      </x:c>
      <x:c r="D162" s="56"/>
      <x:c r="E162" s="56"/>
      <x:c r="F162" s="64"/>
      <x:c r="G162" s="56"/>
      <x:c r="H162" s="56"/>
      <x:c r="I162" s="65" t="str">
        <x:f>IF(OR(A162="",B162=""),"",COUNTIFS($A$5:$A$204,A162,$B$5:$B$204,B162))</x:f>
      </x:c>
      <x:c r="J162" s="65" t="str">
        <x:f>IF(I162="","",ROUND(I162*C162,0))</x:f>
      </x:c>
    </x:row>
    <x:row r="163">
      <x:c r="A163" s="56"/>
      <x:c r="B163" s="56"/>
      <x:c r="C163" s="63" t="str">
        <x:f>IF(OR(A163="",B163=""),"",IFERROR(SUMIFS('05_인원분류'!$C$5:$C$204,'05_인원분류'!$A$5:$A$204,A163,'05_인원분류'!$B$5:$B$204,B163),""))</x:f>
      </x:c>
      <x:c r="D163" s="56"/>
      <x:c r="E163" s="56"/>
      <x:c r="F163" s="64"/>
      <x:c r="G163" s="56"/>
      <x:c r="H163" s="56"/>
      <x:c r="I163" s="65" t="str">
        <x:f>IF(OR(A163="",B163=""),"",COUNTIFS($A$5:$A$204,A163,$B$5:$B$204,B163))</x:f>
      </x:c>
      <x:c r="J163" s="65" t="str">
        <x:f>IF(I163="","",ROUND(I163*C163,0))</x:f>
      </x:c>
    </x:row>
    <x:row r="164">
      <x:c r="A164" s="56"/>
      <x:c r="B164" s="56"/>
      <x:c r="C164" s="63" t="str">
        <x:f>IF(OR(A164="",B164=""),"",IFERROR(SUMIFS('05_인원분류'!$C$5:$C$204,'05_인원분류'!$A$5:$A$204,A164,'05_인원분류'!$B$5:$B$204,B164),""))</x:f>
      </x:c>
      <x:c r="D164" s="56"/>
      <x:c r="E164" s="56"/>
      <x:c r="F164" s="64"/>
      <x:c r="G164" s="56"/>
      <x:c r="H164" s="56"/>
      <x:c r="I164" s="65" t="str">
        <x:f>IF(OR(A164="",B164=""),"",COUNTIFS($A$5:$A$204,A164,$B$5:$B$204,B164))</x:f>
      </x:c>
      <x:c r="J164" s="65" t="str">
        <x:f>IF(I164="","",ROUND(I164*C164,0))</x:f>
      </x:c>
    </x:row>
    <x:row r="165">
      <x:c r="A165" s="56"/>
      <x:c r="B165" s="56"/>
      <x:c r="C165" s="63" t="str">
        <x:f>IF(OR(A165="",B165=""),"",IFERROR(SUMIFS('05_인원분류'!$C$5:$C$204,'05_인원분류'!$A$5:$A$204,A165,'05_인원분류'!$B$5:$B$204,B165),""))</x:f>
      </x:c>
      <x:c r="D165" s="56"/>
      <x:c r="E165" s="56"/>
      <x:c r="F165" s="64"/>
      <x:c r="G165" s="56"/>
      <x:c r="H165" s="56"/>
      <x:c r="I165" s="65" t="str">
        <x:f>IF(OR(A165="",B165=""),"",COUNTIFS($A$5:$A$204,A165,$B$5:$B$204,B165))</x:f>
      </x:c>
      <x:c r="J165" s="65" t="str">
        <x:f>IF(I165="","",ROUND(I165*C165,0))</x:f>
      </x:c>
    </x:row>
    <x:row r="166">
      <x:c r="A166" s="56"/>
      <x:c r="B166" s="56"/>
      <x:c r="C166" s="63" t="str">
        <x:f>IF(OR(A166="",B166=""),"",IFERROR(SUMIFS('05_인원분류'!$C$5:$C$204,'05_인원분류'!$A$5:$A$204,A166,'05_인원분류'!$B$5:$B$204,B166),""))</x:f>
      </x:c>
      <x:c r="D166" s="56"/>
      <x:c r="E166" s="56"/>
      <x:c r="F166" s="64"/>
      <x:c r="G166" s="56"/>
      <x:c r="H166" s="56"/>
      <x:c r="I166" s="65" t="str">
        <x:f>IF(OR(A166="",B166=""),"",COUNTIFS($A$5:$A$204,A166,$B$5:$B$204,B166))</x:f>
      </x:c>
      <x:c r="J166" s="65" t="str">
        <x:f>IF(I166="","",ROUND(I166*C166,0))</x:f>
      </x:c>
    </x:row>
    <x:row r="167">
      <x:c r="A167" s="56"/>
      <x:c r="B167" s="56"/>
      <x:c r="C167" s="63" t="str">
        <x:f>IF(OR(A167="",B167=""),"",IFERROR(SUMIFS('05_인원분류'!$C$5:$C$204,'05_인원분류'!$A$5:$A$204,A167,'05_인원분류'!$B$5:$B$204,B167),""))</x:f>
      </x:c>
      <x:c r="D167" s="56"/>
      <x:c r="E167" s="56"/>
      <x:c r="F167" s="64"/>
      <x:c r="G167" s="56"/>
      <x:c r="H167" s="56"/>
      <x:c r="I167" s="65" t="str">
        <x:f>IF(OR(A167="",B167=""),"",COUNTIFS($A$5:$A$204,A167,$B$5:$B$204,B167))</x:f>
      </x:c>
      <x:c r="J167" s="65" t="str">
        <x:f>IF(I167="","",ROUND(I167*C167,0))</x:f>
      </x:c>
    </x:row>
    <x:row r="168">
      <x:c r="A168" s="56"/>
      <x:c r="B168" s="56"/>
      <x:c r="C168" s="63" t="str">
        <x:f>IF(OR(A168="",B168=""),"",IFERROR(SUMIFS('05_인원분류'!$C$5:$C$204,'05_인원분류'!$A$5:$A$204,A168,'05_인원분류'!$B$5:$B$204,B168),""))</x:f>
      </x:c>
      <x:c r="D168" s="56"/>
      <x:c r="E168" s="56"/>
      <x:c r="F168" s="64"/>
      <x:c r="G168" s="56"/>
      <x:c r="H168" s="56"/>
      <x:c r="I168" s="65" t="str">
        <x:f>IF(OR(A168="",B168=""),"",COUNTIFS($A$5:$A$204,A168,$B$5:$B$204,B168))</x:f>
      </x:c>
      <x:c r="J168" s="65" t="str">
        <x:f>IF(I168="","",ROUND(I168*C168,0))</x:f>
      </x:c>
    </x:row>
    <x:row r="169">
      <x:c r="A169" s="56"/>
      <x:c r="B169" s="56"/>
      <x:c r="C169" s="63" t="str">
        <x:f>IF(OR(A169="",B169=""),"",IFERROR(SUMIFS('05_인원분류'!$C$5:$C$204,'05_인원분류'!$A$5:$A$204,A169,'05_인원분류'!$B$5:$B$204,B169),""))</x:f>
      </x:c>
      <x:c r="D169" s="56"/>
      <x:c r="E169" s="56"/>
      <x:c r="F169" s="64"/>
      <x:c r="G169" s="56"/>
      <x:c r="H169" s="56"/>
      <x:c r="I169" s="65" t="str">
        <x:f>IF(OR(A169="",B169=""),"",COUNTIFS($A$5:$A$204,A169,$B$5:$B$204,B169))</x:f>
      </x:c>
      <x:c r="J169" s="65" t="str">
        <x:f>IF(I169="","",ROUND(I169*C169,0))</x:f>
      </x:c>
    </x:row>
    <x:row r="170">
      <x:c r="A170" s="56"/>
      <x:c r="B170" s="56"/>
      <x:c r="C170" s="63" t="str">
        <x:f>IF(OR(A170="",B170=""),"",IFERROR(SUMIFS('05_인원분류'!$C$5:$C$204,'05_인원분류'!$A$5:$A$204,A170,'05_인원분류'!$B$5:$B$204,B170),""))</x:f>
      </x:c>
      <x:c r="D170" s="56"/>
      <x:c r="E170" s="56"/>
      <x:c r="F170" s="64"/>
      <x:c r="G170" s="56"/>
      <x:c r="H170" s="56"/>
      <x:c r="I170" s="65" t="str">
        <x:f>IF(OR(A170="",B170=""),"",COUNTIFS($A$5:$A$204,A170,$B$5:$B$204,B170))</x:f>
      </x:c>
      <x:c r="J170" s="65" t="str">
        <x:f>IF(I170="","",ROUND(I170*C170,0))</x:f>
      </x:c>
    </x:row>
    <x:row r="171">
      <x:c r="A171" s="56"/>
      <x:c r="B171" s="56"/>
      <x:c r="C171" s="63" t="str">
        <x:f>IF(OR(A171="",B171=""),"",IFERROR(SUMIFS('05_인원분류'!$C$5:$C$204,'05_인원분류'!$A$5:$A$204,A171,'05_인원분류'!$B$5:$B$204,B171),""))</x:f>
      </x:c>
      <x:c r="D171" s="56"/>
      <x:c r="E171" s="56"/>
      <x:c r="F171" s="64"/>
      <x:c r="G171" s="56"/>
      <x:c r="H171" s="56"/>
      <x:c r="I171" s="65" t="str">
        <x:f>IF(OR(A171="",B171=""),"",COUNTIFS($A$5:$A$204,A171,$B$5:$B$204,B171))</x:f>
      </x:c>
      <x:c r="J171" s="65" t="str">
        <x:f>IF(I171="","",ROUND(I171*C171,0))</x:f>
      </x:c>
    </x:row>
    <x:row r="172">
      <x:c r="A172" s="56"/>
      <x:c r="B172" s="56"/>
      <x:c r="C172" s="63" t="str">
        <x:f>IF(OR(A172="",B172=""),"",IFERROR(SUMIFS('05_인원분류'!$C$5:$C$204,'05_인원분류'!$A$5:$A$204,A172,'05_인원분류'!$B$5:$B$204,B172),""))</x:f>
      </x:c>
      <x:c r="D172" s="56"/>
      <x:c r="E172" s="56"/>
      <x:c r="F172" s="64"/>
      <x:c r="G172" s="56"/>
      <x:c r="H172" s="56"/>
      <x:c r="I172" s="65" t="str">
        <x:f>IF(OR(A172="",B172=""),"",COUNTIFS($A$5:$A$204,A172,$B$5:$B$204,B172))</x:f>
      </x:c>
      <x:c r="J172" s="65" t="str">
        <x:f>IF(I172="","",ROUND(I172*C172,0))</x:f>
      </x:c>
    </x:row>
    <x:row r="173">
      <x:c r="A173" s="56"/>
      <x:c r="B173" s="56"/>
      <x:c r="C173" s="63" t="str">
        <x:f>IF(OR(A173="",B173=""),"",IFERROR(SUMIFS('05_인원분류'!$C$5:$C$204,'05_인원분류'!$A$5:$A$204,A173,'05_인원분류'!$B$5:$B$204,B173),""))</x:f>
      </x:c>
      <x:c r="D173" s="56"/>
      <x:c r="E173" s="56"/>
      <x:c r="F173" s="64"/>
      <x:c r="G173" s="56"/>
      <x:c r="H173" s="56"/>
      <x:c r="I173" s="65" t="str">
        <x:f>IF(OR(A173="",B173=""),"",COUNTIFS($A$5:$A$204,A173,$B$5:$B$204,B173))</x:f>
      </x:c>
      <x:c r="J173" s="65" t="str">
        <x:f>IF(I173="","",ROUND(I173*C173,0))</x:f>
      </x:c>
    </x:row>
    <x:row r="174">
      <x:c r="A174" s="56"/>
      <x:c r="B174" s="56"/>
      <x:c r="C174" s="63" t="str">
        <x:f>IF(OR(A174="",B174=""),"",IFERROR(SUMIFS('05_인원분류'!$C$5:$C$204,'05_인원분류'!$A$5:$A$204,A174,'05_인원분류'!$B$5:$B$204,B174),""))</x:f>
      </x:c>
      <x:c r="D174" s="56"/>
      <x:c r="E174" s="56"/>
      <x:c r="F174" s="64"/>
      <x:c r="G174" s="56"/>
      <x:c r="H174" s="56"/>
      <x:c r="I174" s="65" t="str">
        <x:f>IF(OR(A174="",B174=""),"",COUNTIFS($A$5:$A$204,A174,$B$5:$B$204,B174))</x:f>
      </x:c>
      <x:c r="J174" s="65" t="str">
        <x:f>IF(I174="","",ROUND(I174*C174,0))</x:f>
      </x:c>
    </x:row>
    <x:row r="175">
      <x:c r="A175" s="56"/>
      <x:c r="B175" s="56"/>
      <x:c r="C175" s="63" t="str">
        <x:f>IF(OR(A175="",B175=""),"",IFERROR(SUMIFS('05_인원분류'!$C$5:$C$204,'05_인원분류'!$A$5:$A$204,A175,'05_인원분류'!$B$5:$B$204,B175),""))</x:f>
      </x:c>
      <x:c r="D175" s="56"/>
      <x:c r="E175" s="56"/>
      <x:c r="F175" s="64"/>
      <x:c r="G175" s="56"/>
      <x:c r="H175" s="56"/>
      <x:c r="I175" s="65" t="str">
        <x:f>IF(OR(A175="",B175=""),"",COUNTIFS($A$5:$A$204,A175,$B$5:$B$204,B175))</x:f>
      </x:c>
      <x:c r="J175" s="65" t="str">
        <x:f>IF(I175="","",ROUND(I175*C175,0))</x:f>
      </x:c>
    </x:row>
    <x:row r="176">
      <x:c r="A176" s="56"/>
      <x:c r="B176" s="56"/>
      <x:c r="C176" s="63" t="str">
        <x:f>IF(OR(A176="",B176=""),"",IFERROR(SUMIFS('05_인원분류'!$C$5:$C$204,'05_인원분류'!$A$5:$A$204,A176,'05_인원분류'!$B$5:$B$204,B176),""))</x:f>
      </x:c>
      <x:c r="D176" s="56"/>
      <x:c r="E176" s="56"/>
      <x:c r="F176" s="64"/>
      <x:c r="G176" s="56"/>
      <x:c r="H176" s="56"/>
      <x:c r="I176" s="65" t="str">
        <x:f>IF(OR(A176="",B176=""),"",COUNTIFS($A$5:$A$204,A176,$B$5:$B$204,B176))</x:f>
      </x:c>
      <x:c r="J176" s="65" t="str">
        <x:f>IF(I176="","",ROUND(I176*C176,0))</x:f>
      </x:c>
    </x:row>
    <x:row r="177">
      <x:c r="A177" s="56"/>
      <x:c r="B177" s="56"/>
      <x:c r="C177" s="63" t="str">
        <x:f>IF(OR(A177="",B177=""),"",IFERROR(SUMIFS('05_인원분류'!$C$5:$C$204,'05_인원분류'!$A$5:$A$204,A177,'05_인원분류'!$B$5:$B$204,B177),""))</x:f>
      </x:c>
      <x:c r="D177" s="56"/>
      <x:c r="E177" s="56"/>
      <x:c r="F177" s="64"/>
      <x:c r="G177" s="56"/>
      <x:c r="H177" s="56"/>
      <x:c r="I177" s="65" t="str">
        <x:f>IF(OR(A177="",B177=""),"",COUNTIFS($A$5:$A$204,A177,$B$5:$B$204,B177))</x:f>
      </x:c>
      <x:c r="J177" s="65" t="str">
        <x:f>IF(I177="","",ROUND(I177*C177,0))</x:f>
      </x:c>
    </x:row>
    <x:row r="178">
      <x:c r="A178" s="56"/>
      <x:c r="B178" s="56"/>
      <x:c r="C178" s="63" t="str">
        <x:f>IF(OR(A178="",B178=""),"",IFERROR(SUMIFS('05_인원분류'!$C$5:$C$204,'05_인원분류'!$A$5:$A$204,A178,'05_인원분류'!$B$5:$B$204,B178),""))</x:f>
      </x:c>
      <x:c r="D178" s="56"/>
      <x:c r="E178" s="56"/>
      <x:c r="F178" s="64"/>
      <x:c r="G178" s="56"/>
      <x:c r="H178" s="56"/>
      <x:c r="I178" s="65" t="str">
        <x:f>IF(OR(A178="",B178=""),"",COUNTIFS($A$5:$A$204,A178,$B$5:$B$204,B178))</x:f>
      </x:c>
      <x:c r="J178" s="65" t="str">
        <x:f>IF(I178="","",ROUND(I178*C178,0))</x:f>
      </x:c>
    </x:row>
    <x:row r="179">
      <x:c r="A179" s="56"/>
      <x:c r="B179" s="56"/>
      <x:c r="C179" s="63" t="str">
        <x:f>IF(OR(A179="",B179=""),"",IFERROR(SUMIFS('05_인원분류'!$C$5:$C$204,'05_인원분류'!$A$5:$A$204,A179,'05_인원분류'!$B$5:$B$204,B179),""))</x:f>
      </x:c>
      <x:c r="D179" s="56"/>
      <x:c r="E179" s="56"/>
      <x:c r="F179" s="64"/>
      <x:c r="G179" s="56"/>
      <x:c r="H179" s="56"/>
      <x:c r="I179" s="65" t="str">
        <x:f>IF(OR(A179="",B179=""),"",COUNTIFS($A$5:$A$204,A179,$B$5:$B$204,B179))</x:f>
      </x:c>
      <x:c r="J179" s="65" t="str">
        <x:f>IF(I179="","",ROUND(I179*C179,0))</x:f>
      </x:c>
    </x:row>
    <x:row r="180">
      <x:c r="A180" s="56"/>
      <x:c r="B180" s="56"/>
      <x:c r="C180" s="63" t="str">
        <x:f>IF(OR(A180="",B180=""),"",IFERROR(SUMIFS('05_인원분류'!$C$5:$C$204,'05_인원분류'!$A$5:$A$204,A180,'05_인원분류'!$B$5:$B$204,B180),""))</x:f>
      </x:c>
      <x:c r="D180" s="56"/>
      <x:c r="E180" s="56"/>
      <x:c r="F180" s="64"/>
      <x:c r="G180" s="56"/>
      <x:c r="H180" s="56"/>
      <x:c r="I180" s="65" t="str">
        <x:f>IF(OR(A180="",B180=""),"",COUNTIFS($A$5:$A$204,A180,$B$5:$B$204,B180))</x:f>
      </x:c>
      <x:c r="J180" s="65" t="str">
        <x:f>IF(I180="","",ROUND(I180*C180,0))</x:f>
      </x:c>
    </x:row>
    <x:row r="181">
      <x:c r="A181" s="56"/>
      <x:c r="B181" s="56"/>
      <x:c r="C181" s="63" t="str">
        <x:f>IF(OR(A181="",B181=""),"",IFERROR(SUMIFS('05_인원분류'!$C$5:$C$204,'05_인원분류'!$A$5:$A$204,A181,'05_인원분류'!$B$5:$B$204,B181),""))</x:f>
      </x:c>
      <x:c r="D181" s="56"/>
      <x:c r="E181" s="56"/>
      <x:c r="F181" s="64"/>
      <x:c r="G181" s="56"/>
      <x:c r="H181" s="56"/>
      <x:c r="I181" s="65" t="str">
        <x:f>IF(OR(A181="",B181=""),"",COUNTIFS($A$5:$A$204,A181,$B$5:$B$204,B181))</x:f>
      </x:c>
      <x:c r="J181" s="65" t="str">
        <x:f>IF(I181="","",ROUND(I181*C181,0))</x:f>
      </x:c>
    </x:row>
    <x:row r="182">
      <x:c r="A182" s="56"/>
      <x:c r="B182" s="56"/>
      <x:c r="C182" s="63" t="str">
        <x:f>IF(OR(A182="",B182=""),"",IFERROR(SUMIFS('05_인원분류'!$C$5:$C$204,'05_인원분류'!$A$5:$A$204,A182,'05_인원분류'!$B$5:$B$204,B182),""))</x:f>
      </x:c>
      <x:c r="D182" s="56"/>
      <x:c r="E182" s="56"/>
      <x:c r="F182" s="64"/>
      <x:c r="G182" s="56"/>
      <x:c r="H182" s="56"/>
      <x:c r="I182" s="65" t="str">
        <x:f>IF(OR(A182="",B182=""),"",COUNTIFS($A$5:$A$204,A182,$B$5:$B$204,B182))</x:f>
      </x:c>
      <x:c r="J182" s="65" t="str">
        <x:f>IF(I182="","",ROUND(I182*C182,0))</x:f>
      </x:c>
    </x:row>
    <x:row r="183">
      <x:c r="A183" s="56"/>
      <x:c r="B183" s="56"/>
      <x:c r="C183" s="63" t="str">
        <x:f>IF(OR(A183="",B183=""),"",IFERROR(SUMIFS('05_인원분류'!$C$5:$C$204,'05_인원분류'!$A$5:$A$204,A183,'05_인원분류'!$B$5:$B$204,B183),""))</x:f>
      </x:c>
      <x:c r="D183" s="56"/>
      <x:c r="E183" s="56"/>
      <x:c r="F183" s="64"/>
      <x:c r="G183" s="56"/>
      <x:c r="H183" s="56"/>
      <x:c r="I183" s="65" t="str">
        <x:f>IF(OR(A183="",B183=""),"",COUNTIFS($A$5:$A$204,A183,$B$5:$B$204,B183))</x:f>
      </x:c>
      <x:c r="J183" s="65" t="str">
        <x:f>IF(I183="","",ROUND(I183*C183,0))</x:f>
      </x:c>
    </x:row>
    <x:row r="184">
      <x:c r="A184" s="56"/>
      <x:c r="B184" s="56"/>
      <x:c r="C184" s="63" t="str">
        <x:f>IF(OR(A184="",B184=""),"",IFERROR(SUMIFS('05_인원분류'!$C$5:$C$204,'05_인원분류'!$A$5:$A$204,A184,'05_인원분류'!$B$5:$B$204,B184),""))</x:f>
      </x:c>
      <x:c r="D184" s="56"/>
      <x:c r="E184" s="56"/>
      <x:c r="F184" s="64"/>
      <x:c r="G184" s="56"/>
      <x:c r="H184" s="56"/>
      <x:c r="I184" s="65" t="str">
        <x:f>IF(OR(A184="",B184=""),"",COUNTIFS($A$5:$A$204,A184,$B$5:$B$204,B184))</x:f>
      </x:c>
      <x:c r="J184" s="65" t="str">
        <x:f>IF(I184="","",ROUND(I184*C184,0))</x:f>
      </x:c>
    </x:row>
    <x:row r="185">
      <x:c r="A185" s="56"/>
      <x:c r="B185" s="56"/>
      <x:c r="C185" s="63" t="str">
        <x:f>IF(OR(A185="",B185=""),"",IFERROR(SUMIFS('05_인원분류'!$C$5:$C$204,'05_인원분류'!$A$5:$A$204,A185,'05_인원분류'!$B$5:$B$204,B185),""))</x:f>
      </x:c>
      <x:c r="D185" s="56"/>
      <x:c r="E185" s="56"/>
      <x:c r="F185" s="64"/>
      <x:c r="G185" s="56"/>
      <x:c r="H185" s="56"/>
      <x:c r="I185" s="65" t="str">
        <x:f>IF(OR(A185="",B185=""),"",COUNTIFS($A$5:$A$204,A185,$B$5:$B$204,B185))</x:f>
      </x:c>
      <x:c r="J185" s="65" t="str">
        <x:f>IF(I185="","",ROUND(I185*C185,0))</x:f>
      </x:c>
    </x:row>
    <x:row r="186">
      <x:c r="A186" s="56"/>
      <x:c r="B186" s="56"/>
      <x:c r="C186" s="63" t="str">
        <x:f>IF(OR(A186="",B186=""),"",IFERROR(SUMIFS('05_인원분류'!$C$5:$C$204,'05_인원분류'!$A$5:$A$204,A186,'05_인원분류'!$B$5:$B$204,B186),""))</x:f>
      </x:c>
      <x:c r="D186" s="56"/>
      <x:c r="E186" s="56"/>
      <x:c r="F186" s="64"/>
      <x:c r="G186" s="56"/>
      <x:c r="H186" s="56"/>
      <x:c r="I186" s="65" t="str">
        <x:f>IF(OR(A186="",B186=""),"",COUNTIFS($A$5:$A$204,A186,$B$5:$B$204,B186))</x:f>
      </x:c>
      <x:c r="J186" s="65" t="str">
        <x:f>IF(I186="","",ROUND(I186*C186,0))</x:f>
      </x:c>
    </x:row>
    <x:row r="187">
      <x:c r="A187" s="56"/>
      <x:c r="B187" s="56"/>
      <x:c r="C187" s="63" t="str">
        <x:f>IF(OR(A187="",B187=""),"",IFERROR(SUMIFS('05_인원분류'!$C$5:$C$204,'05_인원분류'!$A$5:$A$204,A187,'05_인원분류'!$B$5:$B$204,B187),""))</x:f>
      </x:c>
      <x:c r="D187" s="56"/>
      <x:c r="E187" s="56"/>
      <x:c r="F187" s="64"/>
      <x:c r="G187" s="56"/>
      <x:c r="H187" s="56"/>
      <x:c r="I187" s="65" t="str">
        <x:f>IF(OR(A187="",B187=""),"",COUNTIFS($A$5:$A$204,A187,$B$5:$B$204,B187))</x:f>
      </x:c>
      <x:c r="J187" s="65" t="str">
        <x:f>IF(I187="","",ROUND(I187*C187,0))</x:f>
      </x:c>
    </x:row>
    <x:row r="188">
      <x:c r="A188" s="56"/>
      <x:c r="B188" s="56"/>
      <x:c r="C188" s="63" t="str">
        <x:f>IF(OR(A188="",B188=""),"",IFERROR(SUMIFS('05_인원분류'!$C$5:$C$204,'05_인원분류'!$A$5:$A$204,A188,'05_인원분류'!$B$5:$B$204,B188),""))</x:f>
      </x:c>
      <x:c r="D188" s="56"/>
      <x:c r="E188" s="56"/>
      <x:c r="F188" s="64"/>
      <x:c r="G188" s="56"/>
      <x:c r="H188" s="56"/>
      <x:c r="I188" s="65" t="str">
        <x:f>IF(OR(A188="",B188=""),"",COUNTIFS($A$5:$A$204,A188,$B$5:$B$204,B188))</x:f>
      </x:c>
      <x:c r="J188" s="65" t="str">
        <x:f>IF(I188="","",ROUND(I188*C188,0))</x:f>
      </x:c>
    </x:row>
    <x:row r="189">
      <x:c r="A189" s="56"/>
      <x:c r="B189" s="56"/>
      <x:c r="C189" s="63" t="str">
        <x:f>IF(OR(A189="",B189=""),"",IFERROR(SUMIFS('05_인원분류'!$C$5:$C$204,'05_인원분류'!$A$5:$A$204,A189,'05_인원분류'!$B$5:$B$204,B189),""))</x:f>
      </x:c>
      <x:c r="D189" s="56"/>
      <x:c r="E189" s="56"/>
      <x:c r="F189" s="64"/>
      <x:c r="G189" s="56"/>
      <x:c r="H189" s="56"/>
      <x:c r="I189" s="65" t="str">
        <x:f>IF(OR(A189="",B189=""),"",COUNTIFS($A$5:$A$204,A189,$B$5:$B$204,B189))</x:f>
      </x:c>
      <x:c r="J189" s="65" t="str">
        <x:f>IF(I189="","",ROUND(I189*C189,0))</x:f>
      </x:c>
    </x:row>
    <x:row r="190">
      <x:c r="A190" s="56"/>
      <x:c r="B190" s="56"/>
      <x:c r="C190" s="63" t="str">
        <x:f>IF(OR(A190="",B190=""),"",IFERROR(SUMIFS('05_인원분류'!$C$5:$C$204,'05_인원분류'!$A$5:$A$204,A190,'05_인원분류'!$B$5:$B$204,B190),""))</x:f>
      </x:c>
      <x:c r="D190" s="56"/>
      <x:c r="E190" s="56"/>
      <x:c r="F190" s="64"/>
      <x:c r="G190" s="56"/>
      <x:c r="H190" s="56"/>
      <x:c r="I190" s="65" t="str">
        <x:f>IF(OR(A190="",B190=""),"",COUNTIFS($A$5:$A$204,A190,$B$5:$B$204,B190))</x:f>
      </x:c>
      <x:c r="J190" s="65" t="str">
        <x:f>IF(I190="","",ROUND(I190*C190,0))</x:f>
      </x:c>
    </x:row>
    <x:row r="191">
      <x:c r="A191" s="56"/>
      <x:c r="B191" s="56"/>
      <x:c r="C191" s="63" t="str">
        <x:f>IF(OR(A191="",B191=""),"",IFERROR(SUMIFS('05_인원분류'!$C$5:$C$204,'05_인원분류'!$A$5:$A$204,A191,'05_인원분류'!$B$5:$B$204,B191),""))</x:f>
      </x:c>
      <x:c r="D191" s="56"/>
      <x:c r="E191" s="56"/>
      <x:c r="F191" s="64"/>
      <x:c r="G191" s="56"/>
      <x:c r="H191" s="56"/>
      <x:c r="I191" s="65" t="str">
        <x:f>IF(OR(A191="",B191=""),"",COUNTIFS($A$5:$A$204,A191,$B$5:$B$204,B191))</x:f>
      </x:c>
      <x:c r="J191" s="65" t="str">
        <x:f>IF(I191="","",ROUND(I191*C191,0))</x:f>
      </x:c>
    </x:row>
    <x:row r="192">
      <x:c r="A192" s="56"/>
      <x:c r="B192" s="56"/>
      <x:c r="C192" s="63" t="str">
        <x:f>IF(OR(A192="",B192=""),"",IFERROR(SUMIFS('05_인원분류'!$C$5:$C$204,'05_인원분류'!$A$5:$A$204,A192,'05_인원분류'!$B$5:$B$204,B192),""))</x:f>
      </x:c>
      <x:c r="D192" s="56"/>
      <x:c r="E192" s="56"/>
      <x:c r="F192" s="64"/>
      <x:c r="G192" s="56"/>
      <x:c r="H192" s="56"/>
      <x:c r="I192" s="65" t="str">
        <x:f>IF(OR(A192="",B192=""),"",COUNTIFS($A$5:$A$204,A192,$B$5:$B$204,B192))</x:f>
      </x:c>
      <x:c r="J192" s="65" t="str">
        <x:f>IF(I192="","",ROUND(I192*C192,0))</x:f>
      </x:c>
    </x:row>
    <x:row r="193">
      <x:c r="A193" s="56"/>
      <x:c r="B193" s="56"/>
      <x:c r="C193" s="63" t="str">
        <x:f>IF(OR(A193="",B193=""),"",IFERROR(SUMIFS('05_인원분류'!$C$5:$C$204,'05_인원분류'!$A$5:$A$204,A193,'05_인원분류'!$B$5:$B$204,B193),""))</x:f>
      </x:c>
      <x:c r="D193" s="56"/>
      <x:c r="E193" s="56"/>
      <x:c r="F193" s="64"/>
      <x:c r="G193" s="56"/>
      <x:c r="H193" s="56"/>
      <x:c r="I193" s="65" t="str">
        <x:f>IF(OR(A193="",B193=""),"",COUNTIFS($A$5:$A$204,A193,$B$5:$B$204,B193))</x:f>
      </x:c>
      <x:c r="J193" s="65" t="str">
        <x:f>IF(I193="","",ROUND(I193*C193,0))</x:f>
      </x:c>
    </x:row>
    <x:row r="194">
      <x:c r="A194" s="56"/>
      <x:c r="B194" s="56"/>
      <x:c r="C194" s="63" t="str">
        <x:f>IF(OR(A194="",B194=""),"",IFERROR(SUMIFS('05_인원분류'!$C$5:$C$204,'05_인원분류'!$A$5:$A$204,A194,'05_인원분류'!$B$5:$B$204,B194),""))</x:f>
      </x:c>
      <x:c r="D194" s="56"/>
      <x:c r="E194" s="56"/>
      <x:c r="F194" s="64"/>
      <x:c r="G194" s="56"/>
      <x:c r="H194" s="56"/>
      <x:c r="I194" s="65" t="str">
        <x:f>IF(OR(A194="",B194=""),"",COUNTIFS($A$5:$A$204,A194,$B$5:$B$204,B194))</x:f>
      </x:c>
      <x:c r="J194" s="65" t="str">
        <x:f>IF(I194="","",ROUND(I194*C194,0))</x:f>
      </x:c>
    </x:row>
    <x:row r="195">
      <x:c r="A195" s="56"/>
      <x:c r="B195" s="56"/>
      <x:c r="C195" s="63" t="str">
        <x:f>IF(OR(A195="",B195=""),"",IFERROR(SUMIFS('05_인원분류'!$C$5:$C$204,'05_인원분류'!$A$5:$A$204,A195,'05_인원분류'!$B$5:$B$204,B195),""))</x:f>
      </x:c>
      <x:c r="D195" s="56"/>
      <x:c r="E195" s="56"/>
      <x:c r="F195" s="64"/>
      <x:c r="G195" s="56"/>
      <x:c r="H195" s="56"/>
      <x:c r="I195" s="65" t="str">
        <x:f>IF(OR(A195="",B195=""),"",COUNTIFS($A$5:$A$204,A195,$B$5:$B$204,B195))</x:f>
      </x:c>
      <x:c r="J195" s="65" t="str">
        <x:f>IF(I195="","",ROUND(I195*C195,0))</x:f>
      </x:c>
    </x:row>
    <x:row r="196">
      <x:c r="A196" s="56"/>
      <x:c r="B196" s="56"/>
      <x:c r="C196" s="63" t="str">
        <x:f>IF(OR(A196="",B196=""),"",IFERROR(SUMIFS('05_인원분류'!$C$5:$C$204,'05_인원분류'!$A$5:$A$204,A196,'05_인원분류'!$B$5:$B$204,B196),""))</x:f>
      </x:c>
      <x:c r="D196" s="56"/>
      <x:c r="E196" s="56"/>
      <x:c r="F196" s="64"/>
      <x:c r="G196" s="56"/>
      <x:c r="H196" s="56"/>
      <x:c r="I196" s="65" t="str">
        <x:f>IF(OR(A196="",B196=""),"",COUNTIFS($A$5:$A$204,A196,$B$5:$B$204,B196))</x:f>
      </x:c>
      <x:c r="J196" s="65" t="str">
        <x:f>IF(I196="","",ROUND(I196*C196,0))</x:f>
      </x:c>
    </x:row>
    <x:row r="197">
      <x:c r="A197" s="56"/>
      <x:c r="B197" s="56"/>
      <x:c r="C197" s="63" t="str">
        <x:f>IF(OR(A197="",B197=""),"",IFERROR(SUMIFS('05_인원분류'!$C$5:$C$204,'05_인원분류'!$A$5:$A$204,A197,'05_인원분류'!$B$5:$B$204,B197),""))</x:f>
      </x:c>
      <x:c r="D197" s="56"/>
      <x:c r="E197" s="56"/>
      <x:c r="F197" s="64"/>
      <x:c r="G197" s="56"/>
      <x:c r="H197" s="56"/>
      <x:c r="I197" s="65" t="str">
        <x:f>IF(OR(A197="",B197=""),"",COUNTIFS($A$5:$A$204,A197,$B$5:$B$204,B197))</x:f>
      </x:c>
      <x:c r="J197" s="65" t="str">
        <x:f>IF(I197="","",ROUND(I197*C197,0))</x:f>
      </x:c>
    </x:row>
    <x:row r="198">
      <x:c r="A198" s="56"/>
      <x:c r="B198" s="56"/>
      <x:c r="C198" s="63" t="str">
        <x:f>IF(OR(A198="",B198=""),"",IFERROR(SUMIFS('05_인원분류'!$C$5:$C$204,'05_인원분류'!$A$5:$A$204,A198,'05_인원분류'!$B$5:$B$204,B198),""))</x:f>
      </x:c>
      <x:c r="D198" s="56"/>
      <x:c r="E198" s="56"/>
      <x:c r="F198" s="64"/>
      <x:c r="G198" s="56"/>
      <x:c r="H198" s="56"/>
      <x:c r="I198" s="65" t="str">
        <x:f>IF(OR(A198="",B198=""),"",COUNTIFS($A$5:$A$204,A198,$B$5:$B$204,B198))</x:f>
      </x:c>
      <x:c r="J198" s="65" t="str">
        <x:f>IF(I198="","",ROUND(I198*C198,0))</x:f>
      </x:c>
    </x:row>
    <x:row r="199">
      <x:c r="A199" s="56"/>
      <x:c r="B199" s="56"/>
      <x:c r="C199" s="63" t="str">
        <x:f>IF(OR(A199="",B199=""),"",IFERROR(SUMIFS('05_인원분류'!$C$5:$C$204,'05_인원분류'!$A$5:$A$204,A199,'05_인원분류'!$B$5:$B$204,B199),""))</x:f>
      </x:c>
      <x:c r="D199" s="56"/>
      <x:c r="E199" s="56"/>
      <x:c r="F199" s="64"/>
      <x:c r="G199" s="56"/>
      <x:c r="H199" s="56"/>
      <x:c r="I199" s="65" t="str">
        <x:f>IF(OR(A199="",B199=""),"",COUNTIFS($A$5:$A$204,A199,$B$5:$B$204,B199))</x:f>
      </x:c>
      <x:c r="J199" s="65" t="str">
        <x:f>IF(I199="","",ROUND(I199*C199,0))</x:f>
      </x:c>
    </x:row>
    <x:row r="200">
      <x:c r="A200" s="56"/>
      <x:c r="B200" s="56"/>
      <x:c r="C200" s="63" t="str">
        <x:f>IF(OR(A200="",B200=""),"",IFERROR(SUMIFS('05_인원분류'!$C$5:$C$204,'05_인원분류'!$A$5:$A$204,A200,'05_인원분류'!$B$5:$B$204,B200),""))</x:f>
      </x:c>
      <x:c r="D200" s="56"/>
      <x:c r="E200" s="56"/>
      <x:c r="F200" s="64"/>
      <x:c r="G200" s="56"/>
      <x:c r="H200" s="56"/>
      <x:c r="I200" s="65" t="str">
        <x:f>IF(OR(A200="",B200=""),"",COUNTIFS($A$5:$A$204,A200,$B$5:$B$204,B200))</x:f>
      </x:c>
      <x:c r="J200" s="65" t="str">
        <x:f>IF(I200="","",ROUND(I200*C200,0))</x:f>
      </x:c>
    </x:row>
    <x:row r="201">
      <x:c r="A201" s="56"/>
      <x:c r="B201" s="56"/>
      <x:c r="C201" s="63" t="str">
        <x:f>IF(OR(A201="",B201=""),"",IFERROR(SUMIFS('05_인원분류'!$C$5:$C$204,'05_인원분류'!$A$5:$A$204,A201,'05_인원분류'!$B$5:$B$204,B201),""))</x:f>
      </x:c>
      <x:c r="D201" s="56"/>
      <x:c r="E201" s="56"/>
      <x:c r="F201" s="64"/>
      <x:c r="G201" s="56"/>
      <x:c r="H201" s="56"/>
      <x:c r="I201" s="65" t="str">
        <x:f>IF(OR(A201="",B201=""),"",COUNTIFS($A$5:$A$204,A201,$B$5:$B$204,B201))</x:f>
      </x:c>
      <x:c r="J201" s="65" t="str">
        <x:f>IF(I201="","",ROUND(I201*C201,0))</x:f>
      </x:c>
    </x:row>
    <x:row r="202">
      <x:c r="A202" s="56"/>
      <x:c r="B202" s="56"/>
      <x:c r="C202" s="63" t="str">
        <x:f>IF(OR(A202="",B202=""),"",IFERROR(SUMIFS('05_인원분류'!$C$5:$C$204,'05_인원분류'!$A$5:$A$204,A202,'05_인원분류'!$B$5:$B$204,B202),""))</x:f>
      </x:c>
      <x:c r="D202" s="56"/>
      <x:c r="E202" s="56"/>
      <x:c r="F202" s="64"/>
      <x:c r="G202" s="56"/>
      <x:c r="H202" s="56"/>
      <x:c r="I202" s="65" t="str">
        <x:f>IF(OR(A202="",B202=""),"",COUNTIFS($A$5:$A$204,A202,$B$5:$B$204,B202))</x:f>
      </x:c>
      <x:c r="J202" s="65" t="str">
        <x:f>IF(I202="","",ROUND(I202*C202,0))</x:f>
      </x:c>
    </x:row>
    <x:row r="203">
      <x:c r="A203" s="56"/>
      <x:c r="B203" s="56"/>
      <x:c r="C203" s="63" t="str">
        <x:f>IF(OR(A203="",B203=""),"",IFERROR(SUMIFS('05_인원분류'!$C$5:$C$204,'05_인원분류'!$A$5:$A$204,A203,'05_인원분류'!$B$5:$B$204,B203),""))</x:f>
      </x:c>
      <x:c r="D203" s="56"/>
      <x:c r="E203" s="56"/>
      <x:c r="F203" s="64"/>
      <x:c r="G203" s="56"/>
      <x:c r="H203" s="56"/>
      <x:c r="I203" s="65" t="str">
        <x:f>IF(OR(A203="",B203=""),"",COUNTIFS($A$5:$A$204,A203,$B$5:$B$204,B203))</x:f>
      </x:c>
      <x:c r="J203" s="65" t="str">
        <x:f>IF(I203="","",ROUND(I203*C203,0))</x:f>
      </x:c>
    </x:row>
    <x:row r="204">
      <x:c r="A204" s="56"/>
      <x:c r="B204" s="56"/>
      <x:c r="C204" s="63" t="str">
        <x:f>IF(OR(A204="",B204=""),"",IFERROR(SUMIFS('05_인원분류'!$C$5:$C$204,'05_인원분류'!$A$5:$A$204,A204,'05_인원분류'!$B$5:$B$204,B204),""))</x:f>
      </x:c>
      <x:c r="D204" s="56"/>
      <x:c r="E204" s="56"/>
      <x:c r="F204" s="64"/>
      <x:c r="G204" s="56"/>
      <x:c r="H204" s="56"/>
      <x:c r="I204" s="65" t="str">
        <x:f>IF(OR(A204="",B204=""),"",COUNTIFS($A$5:$A$204,A204,$B$5:$B$204,B204))</x:f>
      </x:c>
      <x:c r="J204" s="65" t="str">
        <x:f>IF(I204="","",ROUND(I204*C204,0))</x:f>
      </x:c>
    </x:row>
  </x:sheetData>
  <x:dataValidations count="3">
    <x:dataValidation type="list" allowBlank="1" showDropDown="0" sqref="A5:A204">
      <x:formula1>'05_인원분류'!$A$5:$A$104</x:formula1>
    </x:dataValidation>
    <x:dataValidation type="list" allowBlank="1" showDropDown="0" sqref="B5:B204">
      <x:formula1>'05_인원분류'!$B$5:$B$104</x:formula1>
    </x:dataValidation>
    <x:dataValidation type="list" allowBlank="1" showDropDown="0" sqref="G5:G204">
      <x:formula1>"Y,N"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469999313354492" hidden="0" customWidth="1"/>
    <x:col min="2" max="2" width="17.790000915527344" hidden="0" customWidth="1"/>
    <x:col min="3" max="3" width="17.790000915527344" hidden="0" customWidth="1"/>
    <x:col min="4" max="4" width="17.790000915527344" hidden="0" customWidth="1"/>
    <x:col min="5" max="5" width="11.65999984741211" hidden="0" customWidth="1"/>
  </x:cols>
  <x:sheetData>
    <x:row r="1">
      <x:c r="A1" s="49" t="str">
        <x:v>예산 분류</x:v>
      </x:c>
      <x:c r="B1" s="50"/>
      <x:c r="C1" s="50"/>
      <x:c r="D1" s="50"/>
      <x:c r="E1" s="50"/>
    </x:row>
    <x:row r="2">
      <x:c r="A2" s="49" t="str">
        <x:v>대분류별 배정금액과 지출 현황을 확인합니다.</x:v>
      </x:c>
      <x:c r="B2" s="50"/>
      <x:c r="C2" s="50"/>
      <x:c r="D2" s="50"/>
      <x:c r="E2" s="50"/>
    </x:row>
    <x:row r="3">
      <x:c r="A3" s="50"/>
      <x:c r="B3" s="50"/>
      <x:c r="C3" s="50"/>
      <x:c r="D3" s="50"/>
      <x:c r="E3" s="50"/>
    </x:row>
    <x:row r="4">
      <x:c r="A4" s="55" t="str">
        <x:v>대분류</x:v>
      </x:c>
      <x:c r="B4" s="55" t="str">
        <x:v>배정금액</x:v>
      </x:c>
      <x:c r="C4" s="55" t="str">
        <x:v>지출합계</x:v>
      </x:c>
      <x:c r="D4" s="55" t="str">
        <x:v>잔여금액</x:v>
      </x:c>
      <x:c r="E4" s="55" t="str">
        <x:v>상태</x:v>
      </x:c>
    </x:row>
    <x:row r="5">
      <x:c r="A5" s="56" t="str">
        <x:v>웨딩홀</x:v>
      </x:c>
      <x:c r="B5" s="64" t="n">
        <x:v>0</x:v>
      </x:c>
      <x:c r="C5" s="66" t="n">
        <x:f>IF(A5="","",SUMIF('09_예산상세'!$A$5:$A$204,A5,'09_예산상세'!$C$5:$C$204))</x:f>
        <x:v>0</x:v>
      </x:c>
      <x:c r="D5" s="66" t="n">
        <x:f>IF(A5="","",B5-C5)</x:f>
        <x:v>0</x:v>
      </x:c>
      <x:c r="E5" s="65" t="str">
        <x:f>IF(A5="","",IF(D5&gt;=0,"여유","초과"))</x:f>
        <x:v>여유</x:v>
      </x:c>
    </x:row>
    <x:row r="6">
      <x:c r="A6" s="56" t="str">
        <x:v>스드메</x:v>
      </x:c>
      <x:c r="B6" s="64" t="n">
        <x:v>0</x:v>
      </x:c>
      <x:c r="C6" s="66" t="n">
        <x:f>IF(A6="","",SUMIF('09_예산상세'!$A$5:$A$204,A6,'09_예산상세'!$C$5:$C$204))</x:f>
        <x:v>0</x:v>
      </x:c>
      <x:c r="D6" s="66" t="n">
        <x:f>IF(A6="","",B6-C6)</x:f>
        <x:v>0</x:v>
      </x:c>
      <x:c r="E6" s="65" t="str">
        <x:f>IF(A6="","",IF(D6&gt;=0,"여유","초과"))</x:f>
        <x:v>여유</x:v>
      </x:c>
    </x:row>
    <x:row r="7">
      <x:c r="A7" s="56" t="str">
        <x:v>예복/한복</x:v>
      </x:c>
      <x:c r="B7" s="64" t="n">
        <x:v>0</x:v>
      </x:c>
      <x:c r="C7" s="66" t="n">
        <x:f>IF(A7="","",SUMIF('09_예산상세'!$A$5:$A$204,A7,'09_예산상세'!$C$5:$C$204))</x:f>
        <x:v>0</x:v>
      </x:c>
      <x:c r="D7" s="66" t="n">
        <x:f>IF(A7="","",B7-C7)</x:f>
        <x:v>0</x:v>
      </x:c>
      <x:c r="E7" s="65" t="str">
        <x:f>IF(A7="","",IF(D7&gt;=0,"여유","초과"))</x:f>
        <x:v>여유</x:v>
      </x:c>
    </x:row>
    <x:row r="8">
      <x:c r="A8" s="56" t="str">
        <x:v>혼수</x:v>
      </x:c>
      <x:c r="B8" s="64" t="n">
        <x:v>0</x:v>
      </x:c>
      <x:c r="C8" s="66" t="n">
        <x:f>IF(A8="","",SUMIF('09_예산상세'!$A$5:$A$204,A8,'09_예산상세'!$C$5:$C$204))</x:f>
        <x:v>0</x:v>
      </x:c>
      <x:c r="D8" s="66" t="n">
        <x:f>IF(A8="","",B8-C8)</x:f>
        <x:v>0</x:v>
      </x:c>
      <x:c r="E8" s="65" t="str">
        <x:f>IF(A8="","",IF(D8&gt;=0,"여유","초과"))</x:f>
        <x:v>여유</x:v>
      </x:c>
    </x:row>
    <x:row r="9">
      <x:c r="A9" s="56" t="str">
        <x:v>기타</x:v>
      </x:c>
      <x:c r="B9" s="64" t="n">
        <x:v>0</x:v>
      </x:c>
      <x:c r="C9" s="66" t="n">
        <x:f>IF(A9="","",SUMIF('09_예산상세'!$A$5:$A$204,A9,'09_예산상세'!$C$5:$C$204))</x:f>
        <x:v>0</x:v>
      </x:c>
      <x:c r="D9" s="66" t="n">
        <x:f>IF(A9="","",B9-C9)</x:f>
        <x:v>0</x:v>
      </x:c>
      <x:c r="E9" s="65" t="str">
        <x:f>IF(A9="","",IF(D9&gt;=0,"여유","초과"))</x:f>
        <x:v>여유</x:v>
      </x:c>
    </x:row>
    <x:row r="10">
      <x:c r="A10" s="56"/>
      <x:c r="B10" s="64"/>
      <x:c r="C10" s="66" t="str">
        <x:f>IF(A10="","",SUMIF('09_예산상세'!$A$5:$A$204,A10,'09_예산상세'!$C$5:$C$204))</x:f>
      </x:c>
      <x:c r="D10" s="66" t="str">
        <x:f>IF(A10="","",B10-C10)</x:f>
      </x:c>
      <x:c r="E10" s="65" t="str">
        <x:f>IF(A10="","",IF(D10&gt;=0,"여유","초과"))</x:f>
      </x:c>
    </x:row>
    <x:row r="11">
      <x:c r="A11" s="56"/>
      <x:c r="B11" s="64"/>
      <x:c r="C11" s="66" t="str">
        <x:f>IF(A11="","",SUMIF('09_예산상세'!$A$5:$A$204,A11,'09_예산상세'!$C$5:$C$204))</x:f>
      </x:c>
      <x:c r="D11" s="66" t="str">
        <x:f>IF(A11="","",B11-C11)</x:f>
      </x:c>
      <x:c r="E11" s="65" t="str">
        <x:f>IF(A11="","",IF(D11&gt;=0,"여유","초과"))</x:f>
      </x:c>
    </x:row>
    <x:row r="12">
      <x:c r="A12" s="56"/>
      <x:c r="B12" s="64"/>
      <x:c r="C12" s="66" t="str">
        <x:f>IF(A12="","",SUMIF('09_예산상세'!$A$5:$A$204,A12,'09_예산상세'!$C$5:$C$204))</x:f>
      </x:c>
      <x:c r="D12" s="66" t="str">
        <x:f>IF(A12="","",B12-C12)</x:f>
      </x:c>
      <x:c r="E12" s="65" t="str">
        <x:f>IF(A12="","",IF(D12&gt;=0,"여유","초과"))</x:f>
      </x:c>
    </x:row>
    <x:row r="13">
      <x:c r="A13" s="56"/>
      <x:c r="B13" s="64"/>
      <x:c r="C13" s="66" t="str">
        <x:f>IF(A13="","",SUMIF('09_예산상세'!$A$5:$A$204,A13,'09_예산상세'!$C$5:$C$204))</x:f>
      </x:c>
      <x:c r="D13" s="66" t="str">
        <x:f>IF(A13="","",B13-C13)</x:f>
      </x:c>
      <x:c r="E13" s="65" t="str">
        <x:f>IF(A13="","",IF(D13&gt;=0,"여유","초과"))</x:f>
      </x:c>
    </x:row>
    <x:row r="14">
      <x:c r="A14" s="56"/>
      <x:c r="B14" s="64"/>
      <x:c r="C14" s="66" t="str">
        <x:f>IF(A14="","",SUMIF('09_예산상세'!$A$5:$A$204,A14,'09_예산상세'!$C$5:$C$204))</x:f>
      </x:c>
      <x:c r="D14" s="66" t="str">
        <x:f>IF(A14="","",B14-C14)</x:f>
      </x:c>
      <x:c r="E14" s="65" t="str">
        <x:f>IF(A14="","",IF(D14&gt;=0,"여유","초과"))</x:f>
      </x:c>
    </x:row>
    <x:row r="15">
      <x:c r="A15" s="56"/>
      <x:c r="B15" s="64"/>
      <x:c r="C15" s="66" t="str">
        <x:f>IF(A15="","",SUMIF('09_예산상세'!$A$5:$A$204,A15,'09_예산상세'!$C$5:$C$204))</x:f>
      </x:c>
      <x:c r="D15" s="66" t="str">
        <x:f>IF(A15="","",B15-C15)</x:f>
      </x:c>
      <x:c r="E15" s="65" t="str">
        <x:f>IF(A15="","",IF(D15&gt;=0,"여유","초과"))</x:f>
      </x:c>
    </x:row>
    <x:row r="16">
      <x:c r="A16" s="56"/>
      <x:c r="B16" s="64"/>
      <x:c r="C16" s="66" t="str">
        <x:f>IF(A16="","",SUMIF('09_예산상세'!$A$5:$A$204,A16,'09_예산상세'!$C$5:$C$204))</x:f>
      </x:c>
      <x:c r="D16" s="66" t="str">
        <x:f>IF(A16="","",B16-C16)</x:f>
      </x:c>
      <x:c r="E16" s="65" t="str">
        <x:f>IF(A16="","",IF(D16&gt;=0,"여유","초과"))</x:f>
      </x:c>
    </x:row>
    <x:row r="17">
      <x:c r="A17" s="56"/>
      <x:c r="B17" s="64"/>
      <x:c r="C17" s="66" t="str">
        <x:f>IF(A17="","",SUMIF('09_예산상세'!$A$5:$A$204,A17,'09_예산상세'!$C$5:$C$204))</x:f>
      </x:c>
      <x:c r="D17" s="66" t="str">
        <x:f>IF(A17="","",B17-C17)</x:f>
      </x:c>
      <x:c r="E17" s="65" t="str">
        <x:f>IF(A17="","",IF(D17&gt;=0,"여유","초과"))</x:f>
      </x:c>
    </x:row>
    <x:row r="18">
      <x:c r="A18" s="56"/>
      <x:c r="B18" s="64"/>
      <x:c r="C18" s="66" t="str">
        <x:f>IF(A18="","",SUMIF('09_예산상세'!$A$5:$A$204,A18,'09_예산상세'!$C$5:$C$204))</x:f>
      </x:c>
      <x:c r="D18" s="66" t="str">
        <x:f>IF(A18="","",B18-C18)</x:f>
      </x:c>
      <x:c r="E18" s="65" t="str">
        <x:f>IF(A18="","",IF(D18&gt;=0,"여유","초과"))</x:f>
      </x:c>
    </x:row>
    <x:row r="19">
      <x:c r="A19" s="56"/>
      <x:c r="B19" s="64"/>
      <x:c r="C19" s="66" t="str">
        <x:f>IF(A19="","",SUMIF('09_예산상세'!$A$5:$A$204,A19,'09_예산상세'!$C$5:$C$204))</x:f>
      </x:c>
      <x:c r="D19" s="66" t="str">
        <x:f>IF(A19="","",B19-C19)</x:f>
      </x:c>
      <x:c r="E19" s="65" t="str">
        <x:f>IF(A19="","",IF(D19&gt;=0,"여유","초과"))</x:f>
      </x:c>
    </x:row>
    <x:row r="20">
      <x:c r="A20" s="56"/>
      <x:c r="B20" s="64"/>
      <x:c r="C20" s="66" t="str">
        <x:f>IF(A20="","",SUMIF('09_예산상세'!$A$5:$A$204,A20,'09_예산상세'!$C$5:$C$204))</x:f>
      </x:c>
      <x:c r="D20" s="66" t="str">
        <x:f>IF(A20="","",B20-C20)</x:f>
      </x:c>
      <x:c r="E20" s="65" t="str">
        <x:f>IF(A20="","",IF(D20&gt;=0,"여유","초과"))</x:f>
      </x:c>
    </x:row>
    <x:row r="21">
      <x:c r="A21" s="56"/>
      <x:c r="B21" s="64"/>
      <x:c r="C21" s="66" t="str">
        <x:f>IF(A21="","",SUMIF('09_예산상세'!$A$5:$A$204,A21,'09_예산상세'!$C$5:$C$204))</x:f>
      </x:c>
      <x:c r="D21" s="66" t="str">
        <x:f>IF(A21="","",B21-C21)</x:f>
      </x:c>
      <x:c r="E21" s="65" t="str">
        <x:f>IF(A21="","",IF(D21&gt;=0,"여유","초과"))</x:f>
      </x:c>
    </x:row>
    <x:row r="22">
      <x:c r="A22" s="56"/>
      <x:c r="B22" s="64"/>
      <x:c r="C22" s="66" t="str">
        <x:f>IF(A22="","",SUMIF('09_예산상세'!$A$5:$A$204,A22,'09_예산상세'!$C$5:$C$204))</x:f>
      </x:c>
      <x:c r="D22" s="66" t="str">
        <x:f>IF(A22="","",B22-C22)</x:f>
      </x:c>
      <x:c r="E22" s="65" t="str">
        <x:f>IF(A22="","",IF(D22&gt;=0,"여유","초과"))</x:f>
      </x:c>
    </x:row>
    <x:row r="23">
      <x:c r="A23" s="56"/>
      <x:c r="B23" s="64"/>
      <x:c r="C23" s="66" t="str">
        <x:f>IF(A23="","",SUMIF('09_예산상세'!$A$5:$A$204,A23,'09_예산상세'!$C$5:$C$204))</x:f>
      </x:c>
      <x:c r="D23" s="66" t="str">
        <x:f>IF(A23="","",B23-C23)</x:f>
      </x:c>
      <x:c r="E23" s="65" t="str">
        <x:f>IF(A23="","",IF(D23&gt;=0,"여유","초과"))</x:f>
      </x:c>
    </x:row>
    <x:row r="24">
      <x:c r="A24" s="56"/>
      <x:c r="B24" s="64"/>
      <x:c r="C24" s="66" t="str">
        <x:f>IF(A24="","",SUMIF('09_예산상세'!$A$5:$A$204,A24,'09_예산상세'!$C$5:$C$204))</x:f>
      </x:c>
      <x:c r="D24" s="66" t="str">
        <x:f>IF(A24="","",B24-C24)</x:f>
      </x:c>
      <x:c r="E24" s="65" t="str">
        <x:f>IF(A24="","",IF(D24&gt;=0,"여유","초과"))</x:f>
      </x:c>
    </x:row>
    <x:row r="25">
      <x:c r="A25" s="56"/>
      <x:c r="B25" s="64"/>
      <x:c r="C25" s="66" t="str">
        <x:f>IF(A25="","",SUMIF('09_예산상세'!$A$5:$A$204,A25,'09_예산상세'!$C$5:$C$204))</x:f>
      </x:c>
      <x:c r="D25" s="66" t="str">
        <x:f>IF(A25="","",B25-C25)</x:f>
      </x:c>
      <x:c r="E25" s="65" t="str">
        <x:f>IF(A25="","",IF(D25&gt;=0,"여유","초과"))</x:f>
      </x:c>
    </x:row>
    <x:row r="26">
      <x:c r="A26" s="56"/>
      <x:c r="B26" s="64"/>
      <x:c r="C26" s="66" t="str">
        <x:f>IF(A26="","",SUMIF('09_예산상세'!$A$5:$A$204,A26,'09_예산상세'!$C$5:$C$204))</x:f>
      </x:c>
      <x:c r="D26" s="66" t="str">
        <x:f>IF(A26="","",B26-C26)</x:f>
      </x:c>
      <x:c r="E26" s="65" t="str">
        <x:f>IF(A26="","",IF(D26&gt;=0,"여유","초과"))</x:f>
      </x:c>
    </x:row>
    <x:row r="27">
      <x:c r="A27" s="56"/>
      <x:c r="B27" s="64"/>
      <x:c r="C27" s="66" t="str">
        <x:f>IF(A27="","",SUMIF('09_예산상세'!$A$5:$A$204,A27,'09_예산상세'!$C$5:$C$204))</x:f>
      </x:c>
      <x:c r="D27" s="66" t="str">
        <x:f>IF(A27="","",B27-C27)</x:f>
      </x:c>
      <x:c r="E27" s="65" t="str">
        <x:f>IF(A27="","",IF(D27&gt;=0,"여유","초과"))</x:f>
      </x:c>
    </x:row>
    <x:row r="28">
      <x:c r="A28" s="56"/>
      <x:c r="B28" s="64"/>
      <x:c r="C28" s="66" t="str">
        <x:f>IF(A28="","",SUMIF('09_예산상세'!$A$5:$A$204,A28,'09_예산상세'!$C$5:$C$204))</x:f>
      </x:c>
      <x:c r="D28" s="66" t="str">
        <x:f>IF(A28="","",B28-C28)</x:f>
      </x:c>
      <x:c r="E28" s="65" t="str">
        <x:f>IF(A28="","",IF(D28&gt;=0,"여유","초과"))</x:f>
      </x:c>
    </x:row>
    <x:row r="29">
      <x:c r="A29" s="56"/>
      <x:c r="B29" s="64"/>
      <x:c r="C29" s="66" t="str">
        <x:f>IF(A29="","",SUMIF('09_예산상세'!$A$5:$A$204,A29,'09_예산상세'!$C$5:$C$204))</x:f>
      </x:c>
      <x:c r="D29" s="66" t="str">
        <x:f>IF(A29="","",B29-C29)</x:f>
      </x:c>
      <x:c r="E29" s="65" t="str">
        <x:f>IF(A29="","",IF(D29&gt;=0,"여유","초과"))</x:f>
      </x:c>
    </x:row>
    <x:row r="30">
      <x:c r="A30" s="56"/>
      <x:c r="B30" s="64"/>
      <x:c r="C30" s="66" t="str">
        <x:f>IF(A30="","",SUMIF('09_예산상세'!$A$5:$A$204,A30,'09_예산상세'!$C$5:$C$204))</x:f>
      </x:c>
      <x:c r="D30" s="66" t="str">
        <x:f>IF(A30="","",B30-C30)</x:f>
      </x:c>
      <x:c r="E30" s="65" t="str">
        <x:f>IF(A30="","",IF(D30&gt;=0,"여유","초과"))</x:f>
      </x:c>
    </x:row>
    <x:row r="31">
      <x:c r="A31" s="56"/>
      <x:c r="B31" s="64"/>
      <x:c r="C31" s="66" t="str">
        <x:f>IF(A31="","",SUMIF('09_예산상세'!$A$5:$A$204,A31,'09_예산상세'!$C$5:$C$204))</x:f>
      </x:c>
      <x:c r="D31" s="66" t="str">
        <x:f>IF(A31="","",B31-C31)</x:f>
      </x:c>
      <x:c r="E31" s="65" t="str">
        <x:f>IF(A31="","",IF(D31&gt;=0,"여유","초과"))</x:f>
      </x:c>
    </x:row>
    <x:row r="32">
      <x:c r="A32" s="56"/>
      <x:c r="B32" s="64"/>
      <x:c r="C32" s="66" t="str">
        <x:f>IF(A32="","",SUMIF('09_예산상세'!$A$5:$A$204,A32,'09_예산상세'!$C$5:$C$204))</x:f>
      </x:c>
      <x:c r="D32" s="66" t="str">
        <x:f>IF(A32="","",B32-C32)</x:f>
      </x:c>
      <x:c r="E32" s="65" t="str">
        <x:f>IF(A32="","",IF(D32&gt;=0,"여유","초과"))</x:f>
      </x:c>
    </x:row>
    <x:row r="33">
      <x:c r="A33" s="56"/>
      <x:c r="B33" s="64"/>
      <x:c r="C33" s="66" t="str">
        <x:f>IF(A33="","",SUMIF('09_예산상세'!$A$5:$A$204,A33,'09_예산상세'!$C$5:$C$204))</x:f>
      </x:c>
      <x:c r="D33" s="66" t="str">
        <x:f>IF(A33="","",B33-C33)</x:f>
      </x:c>
      <x:c r="E33" s="65" t="str">
        <x:f>IF(A33="","",IF(D33&gt;=0,"여유","초과"))</x:f>
      </x:c>
    </x:row>
    <x:row r="34">
      <x:c r="A34" s="56"/>
      <x:c r="B34" s="64"/>
      <x:c r="C34" s="66" t="str">
        <x:f>IF(A34="","",SUMIF('09_예산상세'!$A$5:$A$204,A34,'09_예산상세'!$C$5:$C$204))</x:f>
      </x:c>
      <x:c r="D34" s="66" t="str">
        <x:f>IF(A34="","",B34-C34)</x:f>
      </x:c>
      <x:c r="E34" s="65" t="str">
        <x:f>IF(A34="","",IF(D34&gt;=0,"여유","초과"))</x:f>
      </x:c>
    </x:row>
    <x:row r="35">
      <x:c r="A35" s="56"/>
      <x:c r="B35" s="64"/>
      <x:c r="C35" s="66" t="str">
        <x:f>IF(A35="","",SUMIF('09_예산상세'!$A$5:$A$204,A35,'09_예산상세'!$C$5:$C$204))</x:f>
      </x:c>
      <x:c r="D35" s="66" t="str">
        <x:f>IF(A35="","",B35-C35)</x:f>
      </x:c>
      <x:c r="E35" s="65" t="str">
        <x:f>IF(A35="","",IF(D35&gt;=0,"여유","초과"))</x:f>
      </x:c>
    </x:row>
    <x:row r="36">
      <x:c r="A36" s="56"/>
      <x:c r="B36" s="64"/>
      <x:c r="C36" s="66" t="str">
        <x:f>IF(A36="","",SUMIF('09_예산상세'!$A$5:$A$204,A36,'09_예산상세'!$C$5:$C$204))</x:f>
      </x:c>
      <x:c r="D36" s="66" t="str">
        <x:f>IF(A36="","",B36-C36)</x:f>
      </x:c>
      <x:c r="E36" s="65" t="str">
        <x:f>IF(A36="","",IF(D36&gt;=0,"여유","초과"))</x:f>
      </x:c>
    </x:row>
    <x:row r="37">
      <x:c r="A37" s="56"/>
      <x:c r="B37" s="64"/>
      <x:c r="C37" s="66" t="str">
        <x:f>IF(A37="","",SUMIF('09_예산상세'!$A$5:$A$204,A37,'09_예산상세'!$C$5:$C$204))</x:f>
      </x:c>
      <x:c r="D37" s="66" t="str">
        <x:f>IF(A37="","",B37-C37)</x:f>
      </x:c>
      <x:c r="E37" s="65" t="str">
        <x:f>IF(A37="","",IF(D37&gt;=0,"여유","초과"))</x:f>
      </x:c>
    </x:row>
    <x:row r="38">
      <x:c r="A38" s="56"/>
      <x:c r="B38" s="64"/>
      <x:c r="C38" s="66" t="str">
        <x:f>IF(A38="","",SUMIF('09_예산상세'!$A$5:$A$204,A38,'09_예산상세'!$C$5:$C$204))</x:f>
      </x:c>
      <x:c r="D38" s="66" t="str">
        <x:f>IF(A38="","",B38-C38)</x:f>
      </x:c>
      <x:c r="E38" s="65" t="str">
        <x:f>IF(A38="","",IF(D38&gt;=0,"여유","초과"))</x:f>
      </x:c>
    </x:row>
    <x:row r="39">
      <x:c r="A39" s="56"/>
      <x:c r="B39" s="64"/>
      <x:c r="C39" s="66" t="str">
        <x:f>IF(A39="","",SUMIF('09_예산상세'!$A$5:$A$204,A39,'09_예산상세'!$C$5:$C$204))</x:f>
      </x:c>
      <x:c r="D39" s="66" t="str">
        <x:f>IF(A39="","",B39-C39)</x:f>
      </x:c>
      <x:c r="E39" s="65" t="str">
        <x:f>IF(A39="","",IF(D39&gt;=0,"여유","초과"))</x:f>
      </x:c>
    </x:row>
    <x:row r="40">
      <x:c r="A40" s="56"/>
      <x:c r="B40" s="64"/>
      <x:c r="C40" s="66" t="str">
        <x:f>IF(A40="","",SUMIF('09_예산상세'!$A$5:$A$204,A40,'09_예산상세'!$C$5:$C$204))</x:f>
      </x:c>
      <x:c r="D40" s="66" t="str">
        <x:f>IF(A40="","",B40-C40)</x:f>
      </x:c>
      <x:c r="E40" s="65" t="str">
        <x:f>IF(A40="","",IF(D40&gt;=0,"여유","초과"))</x:f>
      </x:c>
    </x:row>
    <x:row r="41">
      <x:c r="A41" s="56"/>
      <x:c r="B41" s="64"/>
      <x:c r="C41" s="66" t="str">
        <x:f>IF(A41="","",SUMIF('09_예산상세'!$A$5:$A$204,A41,'09_예산상세'!$C$5:$C$204))</x:f>
      </x:c>
      <x:c r="D41" s="66" t="str">
        <x:f>IF(A41="","",B41-C41)</x:f>
      </x:c>
      <x:c r="E41" s="65" t="str">
        <x:f>IF(A41="","",IF(D41&gt;=0,"여유","초과"))</x:f>
      </x:c>
    </x:row>
    <x:row r="42">
      <x:c r="A42" s="56"/>
      <x:c r="B42" s="64"/>
      <x:c r="C42" s="66" t="str">
        <x:f>IF(A42="","",SUMIF('09_예산상세'!$A$5:$A$204,A42,'09_예산상세'!$C$5:$C$204))</x:f>
      </x:c>
      <x:c r="D42" s="66" t="str">
        <x:f>IF(A42="","",B42-C42)</x:f>
      </x:c>
      <x:c r="E42" s="65" t="str">
        <x:f>IF(A42="","",IF(D42&gt;=0,"여유","초과"))</x:f>
      </x:c>
    </x:row>
    <x:row r="43">
      <x:c r="A43" s="56"/>
      <x:c r="B43" s="64"/>
      <x:c r="C43" s="66" t="str">
        <x:f>IF(A43="","",SUMIF('09_예산상세'!$A$5:$A$204,A43,'09_예산상세'!$C$5:$C$204))</x:f>
      </x:c>
      <x:c r="D43" s="66" t="str">
        <x:f>IF(A43="","",B43-C43)</x:f>
      </x:c>
      <x:c r="E43" s="65" t="str">
        <x:f>IF(A43="","",IF(D43&gt;=0,"여유","초과"))</x:f>
      </x:c>
    </x:row>
    <x:row r="44">
      <x:c r="A44" s="56"/>
      <x:c r="B44" s="64"/>
      <x:c r="C44" s="66" t="str">
        <x:f>IF(A44="","",SUMIF('09_예산상세'!$A$5:$A$204,A44,'09_예산상세'!$C$5:$C$204))</x:f>
      </x:c>
      <x:c r="D44" s="66" t="str">
        <x:f>IF(A44="","",B44-C44)</x:f>
      </x:c>
      <x:c r="E44" s="65" t="str">
        <x:f>IF(A44="","",IF(D44&gt;=0,"여유","초과"))</x:f>
      </x:c>
    </x:row>
    <x:row r="45">
      <x:c r="A45" s="56"/>
      <x:c r="B45" s="64"/>
      <x:c r="C45" s="66" t="str">
        <x:f>IF(A45="","",SUMIF('09_예산상세'!$A$5:$A$204,A45,'09_예산상세'!$C$5:$C$204))</x:f>
      </x:c>
      <x:c r="D45" s="66" t="str">
        <x:f>IF(A45="","",B45-C45)</x:f>
      </x:c>
      <x:c r="E45" s="65" t="str">
        <x:f>IF(A45="","",IF(D45&gt;=0,"여유","초과"))</x:f>
      </x:c>
    </x:row>
    <x:row r="46">
      <x:c r="A46" s="56"/>
      <x:c r="B46" s="64"/>
      <x:c r="C46" s="66" t="str">
        <x:f>IF(A46="","",SUMIF('09_예산상세'!$A$5:$A$204,A46,'09_예산상세'!$C$5:$C$204))</x:f>
      </x:c>
      <x:c r="D46" s="66" t="str">
        <x:f>IF(A46="","",B46-C46)</x:f>
      </x:c>
      <x:c r="E46" s="65" t="str">
        <x:f>IF(A46="","",IF(D46&gt;=0,"여유","초과"))</x:f>
      </x:c>
    </x:row>
    <x:row r="47">
      <x:c r="A47" s="56"/>
      <x:c r="B47" s="64"/>
      <x:c r="C47" s="66" t="str">
        <x:f>IF(A47="","",SUMIF('09_예산상세'!$A$5:$A$204,A47,'09_예산상세'!$C$5:$C$204))</x:f>
      </x:c>
      <x:c r="D47" s="66" t="str">
        <x:f>IF(A47="","",B47-C47)</x:f>
      </x:c>
      <x:c r="E47" s="65" t="str">
        <x:f>IF(A47="","",IF(D47&gt;=0,"여유","초과"))</x:f>
      </x:c>
    </x:row>
    <x:row r="48">
      <x:c r="A48" s="56"/>
      <x:c r="B48" s="64"/>
      <x:c r="C48" s="66" t="str">
        <x:f>IF(A48="","",SUMIF('09_예산상세'!$A$5:$A$204,A48,'09_예산상세'!$C$5:$C$204))</x:f>
      </x:c>
      <x:c r="D48" s="66" t="str">
        <x:f>IF(A48="","",B48-C48)</x:f>
      </x:c>
      <x:c r="E48" s="65" t="str">
        <x:f>IF(A48="","",IF(D48&gt;=0,"여유","초과"))</x:f>
      </x:c>
    </x:row>
    <x:row r="49">
      <x:c r="A49" s="56"/>
      <x:c r="B49" s="64"/>
      <x:c r="C49" s="66" t="str">
        <x:f>IF(A49="","",SUMIF('09_예산상세'!$A$5:$A$204,A49,'09_예산상세'!$C$5:$C$204))</x:f>
      </x:c>
      <x:c r="D49" s="66" t="str">
        <x:f>IF(A49="","",B49-C49)</x:f>
      </x:c>
      <x:c r="E49" s="65" t="str">
        <x:f>IF(A49="","",IF(D49&gt;=0,"여유","초과"))</x:f>
      </x:c>
    </x:row>
    <x:row r="50">
      <x:c r="A50" s="56"/>
      <x:c r="B50" s="64"/>
      <x:c r="C50" s="66" t="str">
        <x:f>IF(A50="","",SUMIF('09_예산상세'!$A$5:$A$204,A50,'09_예산상세'!$C$5:$C$204))</x:f>
      </x:c>
      <x:c r="D50" s="66" t="str">
        <x:f>IF(A50="","",B50-C50)</x:f>
      </x:c>
      <x:c r="E50" s="65" t="str">
        <x:f>IF(A50="","",IF(D50&gt;=0,"여유","초과"))</x:f>
      </x:c>
    </x:row>
    <x:row r="51">
      <x:c r="A51" s="56"/>
      <x:c r="B51" s="64"/>
      <x:c r="C51" s="66" t="str">
        <x:f>IF(A51="","",SUMIF('09_예산상세'!$A$5:$A$204,A51,'09_예산상세'!$C$5:$C$204))</x:f>
      </x:c>
      <x:c r="D51" s="66" t="str">
        <x:f>IF(A51="","",B51-C51)</x:f>
      </x:c>
      <x:c r="E51" s="65" t="str">
        <x:f>IF(A51="","",IF(D51&gt;=0,"여유","초과"))</x:f>
      </x:c>
    </x:row>
    <x:row r="52">
      <x:c r="A52" s="56"/>
      <x:c r="B52" s="64"/>
      <x:c r="C52" s="66" t="str">
        <x:f>IF(A52="","",SUMIF('09_예산상세'!$A$5:$A$204,A52,'09_예산상세'!$C$5:$C$204))</x:f>
      </x:c>
      <x:c r="D52" s="66" t="str">
        <x:f>IF(A52="","",B52-C52)</x:f>
      </x:c>
      <x:c r="E52" s="65" t="str">
        <x:f>IF(A52="","",IF(D52&gt;=0,"여유","초과"))</x:f>
      </x:c>
    </x:row>
    <x:row r="53">
      <x:c r="A53" s="56"/>
      <x:c r="B53" s="64"/>
      <x:c r="C53" s="66" t="str">
        <x:f>IF(A53="","",SUMIF('09_예산상세'!$A$5:$A$204,A53,'09_예산상세'!$C$5:$C$204))</x:f>
      </x:c>
      <x:c r="D53" s="66" t="str">
        <x:f>IF(A53="","",B53-C53)</x:f>
      </x:c>
      <x:c r="E53" s="65" t="str">
        <x:f>IF(A53="","",IF(D53&gt;=0,"여유","초과"))</x:f>
      </x:c>
    </x:row>
    <x:row r="54">
      <x:c r="A54" s="56"/>
      <x:c r="B54" s="64"/>
      <x:c r="C54" s="66" t="str">
        <x:f>IF(A54="","",SUMIF('09_예산상세'!$A$5:$A$204,A54,'09_예산상세'!$C$5:$C$204))</x:f>
      </x:c>
      <x:c r="D54" s="66" t="str">
        <x:f>IF(A54="","",B54-C54)</x:f>
      </x:c>
      <x:c r="E54" s="65" t="str">
        <x:f>IF(A54="","",IF(D54&gt;=0,"여유","초과"))</x:f>
      </x:c>
    </x:row>
    <x:row r="55">
      <x:c r="A55" s="56"/>
      <x:c r="B55" s="64"/>
      <x:c r="C55" s="66" t="str">
        <x:f>IF(A55="","",SUMIF('09_예산상세'!$A$5:$A$204,A55,'09_예산상세'!$C$5:$C$204))</x:f>
      </x:c>
      <x:c r="D55" s="66" t="str">
        <x:f>IF(A55="","",B55-C55)</x:f>
      </x:c>
      <x:c r="E55" s="65" t="str">
        <x:f>IF(A55="","",IF(D55&gt;=0,"여유","초과"))</x:f>
      </x:c>
    </x:row>
    <x:row r="56">
      <x:c r="A56" s="56"/>
      <x:c r="B56" s="64"/>
      <x:c r="C56" s="66" t="str">
        <x:f>IF(A56="","",SUMIF('09_예산상세'!$A$5:$A$204,A56,'09_예산상세'!$C$5:$C$204))</x:f>
      </x:c>
      <x:c r="D56" s="66" t="str">
        <x:f>IF(A56="","",B56-C56)</x:f>
      </x:c>
      <x:c r="E56" s="65" t="str">
        <x:f>IF(A56="","",IF(D56&gt;=0,"여유","초과"))</x:f>
      </x:c>
    </x:row>
    <x:row r="57">
      <x:c r="A57" s="56"/>
      <x:c r="B57" s="64"/>
      <x:c r="C57" s="66" t="str">
        <x:f>IF(A57="","",SUMIF('09_예산상세'!$A$5:$A$204,A57,'09_예산상세'!$C$5:$C$204))</x:f>
      </x:c>
      <x:c r="D57" s="66" t="str">
        <x:f>IF(A57="","",B57-C57)</x:f>
      </x:c>
      <x:c r="E57" s="65" t="str">
        <x:f>IF(A57="","",IF(D57&gt;=0,"여유","초과"))</x:f>
      </x:c>
    </x:row>
    <x:row r="58">
      <x:c r="A58" s="56"/>
      <x:c r="B58" s="64"/>
      <x:c r="C58" s="66" t="str">
        <x:f>IF(A58="","",SUMIF('09_예산상세'!$A$5:$A$204,A58,'09_예산상세'!$C$5:$C$204))</x:f>
      </x:c>
      <x:c r="D58" s="66" t="str">
        <x:f>IF(A58="","",B58-C58)</x:f>
      </x:c>
      <x:c r="E58" s="65" t="str">
        <x:f>IF(A58="","",IF(D58&gt;=0,"여유","초과"))</x:f>
      </x:c>
    </x:row>
    <x:row r="59">
      <x:c r="A59" s="56"/>
      <x:c r="B59" s="64"/>
      <x:c r="C59" s="66" t="str">
        <x:f>IF(A59="","",SUMIF('09_예산상세'!$A$5:$A$204,A59,'09_예산상세'!$C$5:$C$204))</x:f>
      </x:c>
      <x:c r="D59" s="66" t="str">
        <x:f>IF(A59="","",B59-C59)</x:f>
      </x:c>
      <x:c r="E59" s="65" t="str">
        <x:f>IF(A59="","",IF(D59&gt;=0,"여유","초과"))</x:f>
      </x:c>
    </x:row>
    <x:row r="60">
      <x:c r="A60" s="56"/>
      <x:c r="B60" s="64"/>
      <x:c r="C60" s="66" t="str">
        <x:f>IF(A60="","",SUMIF('09_예산상세'!$A$5:$A$204,A60,'09_예산상세'!$C$5:$C$204))</x:f>
      </x:c>
      <x:c r="D60" s="66" t="str">
        <x:f>IF(A60="","",B60-C60)</x:f>
      </x:c>
      <x:c r="E60" s="65" t="str">
        <x:f>IF(A60="","",IF(D60&gt;=0,"여유","초과"))</x:f>
      </x:c>
    </x:row>
    <x:row r="61">
      <x:c r="A61" s="56"/>
      <x:c r="B61" s="64"/>
      <x:c r="C61" s="66" t="str">
        <x:f>IF(A61="","",SUMIF('09_예산상세'!$A$5:$A$204,A61,'09_예산상세'!$C$5:$C$204))</x:f>
      </x:c>
      <x:c r="D61" s="66" t="str">
        <x:f>IF(A61="","",B61-C61)</x:f>
      </x:c>
      <x:c r="E61" s="65" t="str">
        <x:f>IF(A61="","",IF(D61&gt;=0,"여유","초과"))</x:f>
      </x:c>
    </x:row>
    <x:row r="62">
      <x:c r="A62" s="56"/>
      <x:c r="B62" s="64"/>
      <x:c r="C62" s="66" t="str">
        <x:f>IF(A62="","",SUMIF('09_예산상세'!$A$5:$A$204,A62,'09_예산상세'!$C$5:$C$204))</x:f>
      </x:c>
      <x:c r="D62" s="66" t="str">
        <x:f>IF(A62="","",B62-C62)</x:f>
      </x:c>
      <x:c r="E62" s="65" t="str">
        <x:f>IF(A62="","",IF(D62&gt;=0,"여유","초과"))</x:f>
      </x:c>
    </x:row>
    <x:row r="63">
      <x:c r="A63" s="56"/>
      <x:c r="B63" s="64"/>
      <x:c r="C63" s="66" t="str">
        <x:f>IF(A63="","",SUMIF('09_예산상세'!$A$5:$A$204,A63,'09_예산상세'!$C$5:$C$204))</x:f>
      </x:c>
      <x:c r="D63" s="66" t="str">
        <x:f>IF(A63="","",B63-C63)</x:f>
      </x:c>
      <x:c r="E63" s="65" t="str">
        <x:f>IF(A63="","",IF(D63&gt;=0,"여유","초과"))</x:f>
      </x:c>
    </x:row>
    <x:row r="64">
      <x:c r="A64" s="56"/>
      <x:c r="B64" s="64"/>
      <x:c r="C64" s="66" t="str">
        <x:f>IF(A64="","",SUMIF('09_예산상세'!$A$5:$A$204,A64,'09_예산상세'!$C$5:$C$204))</x:f>
      </x:c>
      <x:c r="D64" s="66" t="str">
        <x:f>IF(A64="","",B64-C64)</x:f>
      </x:c>
      <x:c r="E64" s="65" t="str">
        <x:f>IF(A64="","",IF(D64&gt;=0,"여유","초과"))</x:f>
      </x:c>
    </x:row>
    <x:row r="65">
      <x:c r="A65" s="56"/>
      <x:c r="B65" s="64"/>
      <x:c r="C65" s="66" t="str">
        <x:f>IF(A65="","",SUMIF('09_예산상세'!$A$5:$A$204,A65,'09_예산상세'!$C$5:$C$204))</x:f>
      </x:c>
      <x:c r="D65" s="66" t="str">
        <x:f>IF(A65="","",B65-C65)</x:f>
      </x:c>
      <x:c r="E65" s="65" t="str">
        <x:f>IF(A65="","",IF(D65&gt;=0,"여유","초과"))</x:f>
      </x:c>
    </x:row>
    <x:row r="66">
      <x:c r="A66" s="56"/>
      <x:c r="B66" s="64"/>
      <x:c r="C66" s="66" t="str">
        <x:f>IF(A66="","",SUMIF('09_예산상세'!$A$5:$A$204,A66,'09_예산상세'!$C$5:$C$204))</x:f>
      </x:c>
      <x:c r="D66" s="66" t="str">
        <x:f>IF(A66="","",B66-C66)</x:f>
      </x:c>
      <x:c r="E66" s="65" t="str">
        <x:f>IF(A66="","",IF(D66&gt;=0,"여유","초과"))</x:f>
      </x:c>
    </x:row>
    <x:row r="67">
      <x:c r="A67" s="56"/>
      <x:c r="B67" s="64"/>
      <x:c r="C67" s="66" t="str">
        <x:f>IF(A67="","",SUMIF('09_예산상세'!$A$5:$A$204,A67,'09_예산상세'!$C$5:$C$204))</x:f>
      </x:c>
      <x:c r="D67" s="66" t="str">
        <x:f>IF(A67="","",B67-C67)</x:f>
      </x:c>
      <x:c r="E67" s="65" t="str">
        <x:f>IF(A67="","",IF(D67&gt;=0,"여유","초과"))</x:f>
      </x:c>
    </x:row>
    <x:row r="68">
      <x:c r="A68" s="56"/>
      <x:c r="B68" s="64"/>
      <x:c r="C68" s="66" t="str">
        <x:f>IF(A68="","",SUMIF('09_예산상세'!$A$5:$A$204,A68,'09_예산상세'!$C$5:$C$204))</x:f>
      </x:c>
      <x:c r="D68" s="66" t="str">
        <x:f>IF(A68="","",B68-C68)</x:f>
      </x:c>
      <x:c r="E68" s="65" t="str">
        <x:f>IF(A68="","",IF(D68&gt;=0,"여유","초과"))</x:f>
      </x:c>
    </x:row>
    <x:row r="69">
      <x:c r="A69" s="56"/>
      <x:c r="B69" s="64"/>
      <x:c r="C69" s="66" t="str">
        <x:f>IF(A69="","",SUMIF('09_예산상세'!$A$5:$A$204,A69,'09_예산상세'!$C$5:$C$204))</x:f>
      </x:c>
      <x:c r="D69" s="66" t="str">
        <x:f>IF(A69="","",B69-C69)</x:f>
      </x:c>
      <x:c r="E69" s="65" t="str">
        <x:f>IF(A69="","",IF(D69&gt;=0,"여유","초과"))</x:f>
      </x:c>
    </x:row>
    <x:row r="70">
      <x:c r="A70" s="56"/>
      <x:c r="B70" s="64"/>
      <x:c r="C70" s="66" t="str">
        <x:f>IF(A70="","",SUMIF('09_예산상세'!$A$5:$A$204,A70,'09_예산상세'!$C$5:$C$204))</x:f>
      </x:c>
      <x:c r="D70" s="66" t="str">
        <x:f>IF(A70="","",B70-C70)</x:f>
      </x:c>
      <x:c r="E70" s="65" t="str">
        <x:f>IF(A70="","",IF(D70&gt;=0,"여유","초과"))</x:f>
      </x:c>
    </x:row>
    <x:row r="71">
      <x:c r="A71" s="56"/>
      <x:c r="B71" s="64"/>
      <x:c r="C71" s="66" t="str">
        <x:f>IF(A71="","",SUMIF('09_예산상세'!$A$5:$A$204,A71,'09_예산상세'!$C$5:$C$204))</x:f>
      </x:c>
      <x:c r="D71" s="66" t="str">
        <x:f>IF(A71="","",B71-C71)</x:f>
      </x:c>
      <x:c r="E71" s="65" t="str">
        <x:f>IF(A71="","",IF(D71&gt;=0,"여유","초과"))</x:f>
      </x:c>
    </x:row>
    <x:row r="72">
      <x:c r="A72" s="56"/>
      <x:c r="B72" s="64"/>
      <x:c r="C72" s="66" t="str">
        <x:f>IF(A72="","",SUMIF('09_예산상세'!$A$5:$A$204,A72,'09_예산상세'!$C$5:$C$204))</x:f>
      </x:c>
      <x:c r="D72" s="66" t="str">
        <x:f>IF(A72="","",B72-C72)</x:f>
      </x:c>
      <x:c r="E72" s="65" t="str">
        <x:f>IF(A72="","",IF(D72&gt;=0,"여유","초과"))</x:f>
      </x:c>
    </x:row>
    <x:row r="73">
      <x:c r="A73" s="56"/>
      <x:c r="B73" s="64"/>
      <x:c r="C73" s="66" t="str">
        <x:f>IF(A73="","",SUMIF('09_예산상세'!$A$5:$A$204,A73,'09_예산상세'!$C$5:$C$204))</x:f>
      </x:c>
      <x:c r="D73" s="66" t="str">
        <x:f>IF(A73="","",B73-C73)</x:f>
      </x:c>
      <x:c r="E73" s="65" t="str">
        <x:f>IF(A73="","",IF(D73&gt;=0,"여유","초과"))</x:f>
      </x:c>
    </x:row>
    <x:row r="74">
      <x:c r="A74" s="56"/>
      <x:c r="B74" s="64"/>
      <x:c r="C74" s="66" t="str">
        <x:f>IF(A74="","",SUMIF('09_예산상세'!$A$5:$A$204,A74,'09_예산상세'!$C$5:$C$204))</x:f>
      </x:c>
      <x:c r="D74" s="66" t="str">
        <x:f>IF(A74="","",B74-C74)</x:f>
      </x:c>
      <x:c r="E74" s="65" t="str">
        <x:f>IF(A74="","",IF(D74&gt;=0,"여유","초과"))</x:f>
      </x:c>
    </x:row>
    <x:row r="75">
      <x:c r="A75" s="56"/>
      <x:c r="B75" s="64"/>
      <x:c r="C75" s="66" t="str">
        <x:f>IF(A75="","",SUMIF('09_예산상세'!$A$5:$A$204,A75,'09_예산상세'!$C$5:$C$204))</x:f>
      </x:c>
      <x:c r="D75" s="66" t="str">
        <x:f>IF(A75="","",B75-C75)</x:f>
      </x:c>
      <x:c r="E75" s="65" t="str">
        <x:f>IF(A75="","",IF(D75&gt;=0,"여유","초과"))</x:f>
      </x:c>
    </x:row>
    <x:row r="76">
      <x:c r="A76" s="56"/>
      <x:c r="B76" s="64"/>
      <x:c r="C76" s="66" t="str">
        <x:f>IF(A76="","",SUMIF('09_예산상세'!$A$5:$A$204,A76,'09_예산상세'!$C$5:$C$204))</x:f>
      </x:c>
      <x:c r="D76" s="66" t="str">
        <x:f>IF(A76="","",B76-C76)</x:f>
      </x:c>
      <x:c r="E76" s="65" t="str">
        <x:f>IF(A76="","",IF(D76&gt;=0,"여유","초과"))</x:f>
      </x:c>
    </x:row>
    <x:row r="77">
      <x:c r="A77" s="56"/>
      <x:c r="B77" s="64"/>
      <x:c r="C77" s="66" t="str">
        <x:f>IF(A77="","",SUMIF('09_예산상세'!$A$5:$A$204,A77,'09_예산상세'!$C$5:$C$204))</x:f>
      </x:c>
      <x:c r="D77" s="66" t="str">
        <x:f>IF(A77="","",B77-C77)</x:f>
      </x:c>
      <x:c r="E77" s="65" t="str">
        <x:f>IF(A77="","",IF(D77&gt;=0,"여유","초과"))</x:f>
      </x:c>
    </x:row>
    <x:row r="78">
      <x:c r="A78" s="56"/>
      <x:c r="B78" s="64"/>
      <x:c r="C78" s="66" t="str">
        <x:f>IF(A78="","",SUMIF('09_예산상세'!$A$5:$A$204,A78,'09_예산상세'!$C$5:$C$204))</x:f>
      </x:c>
      <x:c r="D78" s="66" t="str">
        <x:f>IF(A78="","",B78-C78)</x:f>
      </x:c>
      <x:c r="E78" s="65" t="str">
        <x:f>IF(A78="","",IF(D78&gt;=0,"여유","초과"))</x:f>
      </x:c>
    </x:row>
    <x:row r="79">
      <x:c r="A79" s="56"/>
      <x:c r="B79" s="64"/>
      <x:c r="C79" s="66" t="str">
        <x:f>IF(A79="","",SUMIF('09_예산상세'!$A$5:$A$204,A79,'09_예산상세'!$C$5:$C$204))</x:f>
      </x:c>
      <x:c r="D79" s="66" t="str">
        <x:f>IF(A79="","",B79-C79)</x:f>
      </x:c>
      <x:c r="E79" s="65" t="str">
        <x:f>IF(A79="","",IF(D79&gt;=0,"여유","초과"))</x:f>
      </x:c>
    </x:row>
    <x:row r="80">
      <x:c r="A80" s="56"/>
      <x:c r="B80" s="64"/>
      <x:c r="C80" s="66" t="str">
        <x:f>IF(A80="","",SUMIF('09_예산상세'!$A$5:$A$204,A80,'09_예산상세'!$C$5:$C$204))</x:f>
      </x:c>
      <x:c r="D80" s="66" t="str">
        <x:f>IF(A80="","",B80-C80)</x:f>
      </x:c>
      <x:c r="E80" s="65" t="str">
        <x:f>IF(A80="","",IF(D80&gt;=0,"여유","초과"))</x:f>
      </x:c>
    </x:row>
    <x:row r="81">
      <x:c r="A81" s="56"/>
      <x:c r="B81" s="64"/>
      <x:c r="C81" s="66" t="str">
        <x:f>IF(A81="","",SUMIF('09_예산상세'!$A$5:$A$204,A81,'09_예산상세'!$C$5:$C$204))</x:f>
      </x:c>
      <x:c r="D81" s="66" t="str">
        <x:f>IF(A81="","",B81-C81)</x:f>
      </x:c>
      <x:c r="E81" s="65" t="str">
        <x:f>IF(A81="","",IF(D81&gt;=0,"여유","초과"))</x:f>
      </x:c>
    </x:row>
    <x:row r="82">
      <x:c r="A82" s="56"/>
      <x:c r="B82" s="64"/>
      <x:c r="C82" s="66" t="str">
        <x:f>IF(A82="","",SUMIF('09_예산상세'!$A$5:$A$204,A82,'09_예산상세'!$C$5:$C$204))</x:f>
      </x:c>
      <x:c r="D82" s="66" t="str">
        <x:f>IF(A82="","",B82-C82)</x:f>
      </x:c>
      <x:c r="E82" s="65" t="str">
        <x:f>IF(A82="","",IF(D82&gt;=0,"여유","초과"))</x:f>
      </x:c>
    </x:row>
    <x:row r="83">
      <x:c r="A83" s="56"/>
      <x:c r="B83" s="64"/>
      <x:c r="C83" s="66" t="str">
        <x:f>IF(A83="","",SUMIF('09_예산상세'!$A$5:$A$204,A83,'09_예산상세'!$C$5:$C$204))</x:f>
      </x:c>
      <x:c r="D83" s="66" t="str">
        <x:f>IF(A83="","",B83-C83)</x:f>
      </x:c>
      <x:c r="E83" s="65" t="str">
        <x:f>IF(A83="","",IF(D83&gt;=0,"여유","초과"))</x:f>
      </x:c>
    </x:row>
    <x:row r="84">
      <x:c r="A84" s="56"/>
      <x:c r="B84" s="64"/>
      <x:c r="C84" s="66" t="str">
        <x:f>IF(A84="","",SUMIF('09_예산상세'!$A$5:$A$204,A84,'09_예산상세'!$C$5:$C$204))</x:f>
      </x:c>
      <x:c r="D84" s="66" t="str">
        <x:f>IF(A84="","",B84-C84)</x:f>
      </x:c>
      <x:c r="E84" s="65" t="str">
        <x:f>IF(A84="","",IF(D84&gt;=0,"여유","초과"))</x:f>
      </x:c>
    </x:row>
    <x:row r="85">
      <x:c r="A85" s="56"/>
      <x:c r="B85" s="64"/>
      <x:c r="C85" s="66" t="str">
        <x:f>IF(A85="","",SUMIF('09_예산상세'!$A$5:$A$204,A85,'09_예산상세'!$C$5:$C$204))</x:f>
      </x:c>
      <x:c r="D85" s="66" t="str">
        <x:f>IF(A85="","",B85-C85)</x:f>
      </x:c>
      <x:c r="E85" s="65" t="str">
        <x:f>IF(A85="","",IF(D85&gt;=0,"여유","초과"))</x:f>
      </x:c>
    </x:row>
    <x:row r="86">
      <x:c r="A86" s="56"/>
      <x:c r="B86" s="64"/>
      <x:c r="C86" s="66" t="str">
        <x:f>IF(A86="","",SUMIF('09_예산상세'!$A$5:$A$204,A86,'09_예산상세'!$C$5:$C$204))</x:f>
      </x:c>
      <x:c r="D86" s="66" t="str">
        <x:f>IF(A86="","",B86-C86)</x:f>
      </x:c>
      <x:c r="E86" s="65" t="str">
        <x:f>IF(A86="","",IF(D86&gt;=0,"여유","초과"))</x:f>
      </x:c>
    </x:row>
    <x:row r="87">
      <x:c r="A87" s="56"/>
      <x:c r="B87" s="64"/>
      <x:c r="C87" s="66" t="str">
        <x:f>IF(A87="","",SUMIF('09_예산상세'!$A$5:$A$204,A87,'09_예산상세'!$C$5:$C$204))</x:f>
      </x:c>
      <x:c r="D87" s="66" t="str">
        <x:f>IF(A87="","",B87-C87)</x:f>
      </x:c>
      <x:c r="E87" s="65" t="str">
        <x:f>IF(A87="","",IF(D87&gt;=0,"여유","초과"))</x:f>
      </x:c>
    </x:row>
    <x:row r="88">
      <x:c r="A88" s="56"/>
      <x:c r="B88" s="64"/>
      <x:c r="C88" s="66" t="str">
        <x:f>IF(A88="","",SUMIF('09_예산상세'!$A$5:$A$204,A88,'09_예산상세'!$C$5:$C$204))</x:f>
      </x:c>
      <x:c r="D88" s="66" t="str">
        <x:f>IF(A88="","",B88-C88)</x:f>
      </x:c>
      <x:c r="E88" s="65" t="str">
        <x:f>IF(A88="","",IF(D88&gt;=0,"여유","초과"))</x:f>
      </x:c>
    </x:row>
    <x:row r="89">
      <x:c r="A89" s="56"/>
      <x:c r="B89" s="64"/>
      <x:c r="C89" s="66" t="str">
        <x:f>IF(A89="","",SUMIF('09_예산상세'!$A$5:$A$204,A89,'09_예산상세'!$C$5:$C$204))</x:f>
      </x:c>
      <x:c r="D89" s="66" t="str">
        <x:f>IF(A89="","",B89-C89)</x:f>
      </x:c>
      <x:c r="E89" s="65" t="str">
        <x:f>IF(A89="","",IF(D89&gt;=0,"여유","초과"))</x:f>
      </x:c>
    </x:row>
    <x:row r="90">
      <x:c r="A90" s="56"/>
      <x:c r="B90" s="64"/>
      <x:c r="C90" s="66" t="str">
        <x:f>IF(A90="","",SUMIF('09_예산상세'!$A$5:$A$204,A90,'09_예산상세'!$C$5:$C$204))</x:f>
      </x:c>
      <x:c r="D90" s="66" t="str">
        <x:f>IF(A90="","",B90-C90)</x:f>
      </x:c>
      <x:c r="E90" s="65" t="str">
        <x:f>IF(A90="","",IF(D90&gt;=0,"여유","초과"))</x:f>
      </x:c>
    </x:row>
    <x:row r="91">
      <x:c r="A91" s="56"/>
      <x:c r="B91" s="64"/>
      <x:c r="C91" s="66" t="str">
        <x:f>IF(A91="","",SUMIF('09_예산상세'!$A$5:$A$204,A91,'09_예산상세'!$C$5:$C$204))</x:f>
      </x:c>
      <x:c r="D91" s="66" t="str">
        <x:f>IF(A91="","",B91-C91)</x:f>
      </x:c>
      <x:c r="E91" s="65" t="str">
        <x:f>IF(A91="","",IF(D91&gt;=0,"여유","초과"))</x:f>
      </x:c>
    </x:row>
    <x:row r="92">
      <x:c r="A92" s="56"/>
      <x:c r="B92" s="64"/>
      <x:c r="C92" s="66" t="str">
        <x:f>IF(A92="","",SUMIF('09_예산상세'!$A$5:$A$204,A92,'09_예산상세'!$C$5:$C$204))</x:f>
      </x:c>
      <x:c r="D92" s="66" t="str">
        <x:f>IF(A92="","",B92-C92)</x:f>
      </x:c>
      <x:c r="E92" s="65" t="str">
        <x:f>IF(A92="","",IF(D92&gt;=0,"여유","초과"))</x:f>
      </x:c>
    </x:row>
    <x:row r="93">
      <x:c r="A93" s="56"/>
      <x:c r="B93" s="64"/>
      <x:c r="C93" s="66" t="str">
        <x:f>IF(A93="","",SUMIF('09_예산상세'!$A$5:$A$204,A93,'09_예산상세'!$C$5:$C$204))</x:f>
      </x:c>
      <x:c r="D93" s="66" t="str">
        <x:f>IF(A93="","",B93-C93)</x:f>
      </x:c>
      <x:c r="E93" s="65" t="str">
        <x:f>IF(A93="","",IF(D93&gt;=0,"여유","초과"))</x:f>
      </x:c>
    </x:row>
    <x:row r="94">
      <x:c r="A94" s="56"/>
      <x:c r="B94" s="64"/>
      <x:c r="C94" s="66" t="str">
        <x:f>IF(A94="","",SUMIF('09_예산상세'!$A$5:$A$204,A94,'09_예산상세'!$C$5:$C$204))</x:f>
      </x:c>
      <x:c r="D94" s="66" t="str">
        <x:f>IF(A94="","",B94-C94)</x:f>
      </x:c>
      <x:c r="E94" s="65" t="str">
        <x:f>IF(A94="","",IF(D94&gt;=0,"여유","초과"))</x:f>
      </x:c>
    </x:row>
    <x:row r="95">
      <x:c r="A95" s="56"/>
      <x:c r="B95" s="64"/>
      <x:c r="C95" s="66" t="str">
        <x:f>IF(A95="","",SUMIF('09_예산상세'!$A$5:$A$204,A95,'09_예산상세'!$C$5:$C$204))</x:f>
      </x:c>
      <x:c r="D95" s="66" t="str">
        <x:f>IF(A95="","",B95-C95)</x:f>
      </x:c>
      <x:c r="E95" s="65" t="str">
        <x:f>IF(A95="","",IF(D95&gt;=0,"여유","초과"))</x:f>
      </x:c>
    </x:row>
    <x:row r="96">
      <x:c r="A96" s="56"/>
      <x:c r="B96" s="64"/>
      <x:c r="C96" s="66" t="str">
        <x:f>IF(A96="","",SUMIF('09_예산상세'!$A$5:$A$204,A96,'09_예산상세'!$C$5:$C$204))</x:f>
      </x:c>
      <x:c r="D96" s="66" t="str">
        <x:f>IF(A96="","",B96-C96)</x:f>
      </x:c>
      <x:c r="E96" s="65" t="str">
        <x:f>IF(A96="","",IF(D96&gt;=0,"여유","초과"))</x:f>
      </x:c>
    </x:row>
    <x:row r="97">
      <x:c r="A97" s="56"/>
      <x:c r="B97" s="64"/>
      <x:c r="C97" s="66" t="str">
        <x:f>IF(A97="","",SUMIF('09_예산상세'!$A$5:$A$204,A97,'09_예산상세'!$C$5:$C$204))</x:f>
      </x:c>
      <x:c r="D97" s="66" t="str">
        <x:f>IF(A97="","",B97-C97)</x:f>
      </x:c>
      <x:c r="E97" s="65" t="str">
        <x:f>IF(A97="","",IF(D97&gt;=0,"여유","초과"))</x:f>
      </x:c>
    </x:row>
    <x:row r="98">
      <x:c r="A98" s="56"/>
      <x:c r="B98" s="64"/>
      <x:c r="C98" s="66" t="str">
        <x:f>IF(A98="","",SUMIF('09_예산상세'!$A$5:$A$204,A98,'09_예산상세'!$C$5:$C$204))</x:f>
      </x:c>
      <x:c r="D98" s="66" t="str">
        <x:f>IF(A98="","",B98-C98)</x:f>
      </x:c>
      <x:c r="E98" s="65" t="str">
        <x:f>IF(A98="","",IF(D98&gt;=0,"여유","초과"))</x:f>
      </x:c>
    </x:row>
    <x:row r="99">
      <x:c r="A99" s="56"/>
      <x:c r="B99" s="64"/>
      <x:c r="C99" s="66" t="str">
        <x:f>IF(A99="","",SUMIF('09_예산상세'!$A$5:$A$204,A99,'09_예산상세'!$C$5:$C$204))</x:f>
      </x:c>
      <x:c r="D99" s="66" t="str">
        <x:f>IF(A99="","",B99-C99)</x:f>
      </x:c>
      <x:c r="E99" s="65" t="str">
        <x:f>IF(A99="","",IF(D99&gt;=0,"여유","초과"))</x:f>
      </x:c>
    </x:row>
    <x:row r="100">
      <x:c r="A100" s="56"/>
      <x:c r="B100" s="64"/>
      <x:c r="C100" s="66" t="str">
        <x:f>IF(A100="","",SUMIF('09_예산상세'!$A$5:$A$204,A100,'09_예산상세'!$C$5:$C$204))</x:f>
      </x:c>
      <x:c r="D100" s="66" t="str">
        <x:f>IF(A100="","",B100-C100)</x:f>
      </x:c>
      <x:c r="E100" s="65" t="str">
        <x:f>IF(A100="","",IF(D100&gt;=0,"여유","초과"))</x:f>
      </x:c>
    </x:row>
    <x:row r="101">
      <x:c r="A101" s="56"/>
      <x:c r="B101" s="64"/>
      <x:c r="C101" s="66" t="str">
        <x:f>IF(A101="","",SUMIF('09_예산상세'!$A$5:$A$204,A101,'09_예산상세'!$C$5:$C$204))</x:f>
      </x:c>
      <x:c r="D101" s="66" t="str">
        <x:f>IF(A101="","",B101-C101)</x:f>
      </x:c>
      <x:c r="E101" s="65" t="str">
        <x:f>IF(A101="","",IF(D101&gt;=0,"여유","초과"))</x:f>
      </x:c>
    </x:row>
    <x:row r="102">
      <x:c r="A102" s="56"/>
      <x:c r="B102" s="64"/>
      <x:c r="C102" s="66" t="str">
        <x:f>IF(A102="","",SUMIF('09_예산상세'!$A$5:$A$204,A102,'09_예산상세'!$C$5:$C$204))</x:f>
      </x:c>
      <x:c r="D102" s="66" t="str">
        <x:f>IF(A102="","",B102-C102)</x:f>
      </x:c>
      <x:c r="E102" s="65" t="str">
        <x:f>IF(A102="","",IF(D102&gt;=0,"여유","초과"))</x:f>
      </x:c>
    </x:row>
    <x:row r="103">
      <x:c r="A103" s="56"/>
      <x:c r="B103" s="64"/>
      <x:c r="C103" s="66" t="str">
        <x:f>IF(A103="","",SUMIF('09_예산상세'!$A$5:$A$204,A103,'09_예산상세'!$C$5:$C$204))</x:f>
      </x:c>
      <x:c r="D103" s="66" t="str">
        <x:f>IF(A103="","",B103-C103)</x:f>
      </x:c>
      <x:c r="E103" s="65" t="str">
        <x:f>IF(A103="","",IF(D103&gt;=0,"여유","초과"))</x:f>
      </x:c>
    </x:row>
    <x:row r="104">
      <x:c r="A104" s="56"/>
      <x:c r="B104" s="64"/>
      <x:c r="C104" s="66" t="str">
        <x:f>IF(A104="","",SUMIF('09_예산상세'!$A$5:$A$204,A104,'09_예산상세'!$C$5:$C$204))</x:f>
      </x:c>
      <x:c r="D104" s="66" t="str">
        <x:f>IF(A104="","",B104-C104)</x:f>
      </x:c>
      <x:c r="E104" s="65" t="str">
        <x:f>IF(A104="","",IF(D104&gt;=0,"여유","초과"))</x:f>
      </x:c>
    </x:row>
    <x:row r="105">
      <x:c r="A105" s="56"/>
      <x:c r="B105" s="64"/>
      <x:c r="C105" s="66" t="str">
        <x:f>IF(A105="","",SUMIF('09_예산상세'!$A$5:$A$204,A105,'09_예산상세'!$C$5:$C$204))</x:f>
      </x:c>
      <x:c r="D105" s="66" t="str">
        <x:f>IF(A105="","",B105-C105)</x:f>
      </x:c>
      <x:c r="E105" s="65" t="str">
        <x:f>IF(A105="","",IF(D105&gt;=0,"여유","초과"))</x:f>
      </x:c>
    </x:row>
    <x:row r="106">
      <x:c r="A106" s="56"/>
      <x:c r="B106" s="64"/>
      <x:c r="C106" s="66" t="str">
        <x:f>IF(A106="","",SUMIF('09_예산상세'!$A$5:$A$204,A106,'09_예산상세'!$C$5:$C$204))</x:f>
      </x:c>
      <x:c r="D106" s="66" t="str">
        <x:f>IF(A106="","",B106-C106)</x:f>
      </x:c>
      <x:c r="E106" s="65" t="str">
        <x:f>IF(A106="","",IF(D106&gt;=0,"여유","초과"))</x:f>
      </x:c>
    </x:row>
    <x:row r="107">
      <x:c r="A107" s="56"/>
      <x:c r="B107" s="64"/>
      <x:c r="C107" s="66" t="str">
        <x:f>IF(A107="","",SUMIF('09_예산상세'!$A$5:$A$204,A107,'09_예산상세'!$C$5:$C$204))</x:f>
      </x:c>
      <x:c r="D107" s="66" t="str">
        <x:f>IF(A107="","",B107-C107)</x:f>
      </x:c>
      <x:c r="E107" s="65" t="str">
        <x:f>IF(A107="","",IF(D107&gt;=0,"여유","초과"))</x:f>
      </x:c>
    </x:row>
    <x:row r="108">
      <x:c r="A108" s="56"/>
      <x:c r="B108" s="64"/>
      <x:c r="C108" s="66" t="str">
        <x:f>IF(A108="","",SUMIF('09_예산상세'!$A$5:$A$204,A108,'09_예산상세'!$C$5:$C$204))</x:f>
      </x:c>
      <x:c r="D108" s="66" t="str">
        <x:f>IF(A108="","",B108-C108)</x:f>
      </x:c>
      <x:c r="E108" s="65" t="str">
        <x:f>IF(A108="","",IF(D108&gt;=0,"여유","초과"))</x:f>
      </x:c>
    </x:row>
    <x:row r="109">
      <x:c r="A109" s="56"/>
      <x:c r="B109" s="64"/>
      <x:c r="C109" s="66" t="str">
        <x:f>IF(A109="","",SUMIF('09_예산상세'!$A$5:$A$204,A109,'09_예산상세'!$C$5:$C$204))</x:f>
      </x:c>
      <x:c r="D109" s="66" t="str">
        <x:f>IF(A109="","",B109-C109)</x:f>
      </x:c>
      <x:c r="E109" s="65" t="str">
        <x:f>IF(A109="","",IF(D109&gt;=0,"여유","초과"))</x:f>
      </x:c>
    </x:row>
    <x:row r="110">
      <x:c r="A110" s="56"/>
      <x:c r="B110" s="64"/>
      <x:c r="C110" s="66" t="str">
        <x:f>IF(A110="","",SUMIF('09_예산상세'!$A$5:$A$204,A110,'09_예산상세'!$C$5:$C$204))</x:f>
      </x:c>
      <x:c r="D110" s="66" t="str">
        <x:f>IF(A110="","",B110-C110)</x:f>
      </x:c>
      <x:c r="E110" s="65" t="str">
        <x:f>IF(A110="","",IF(D110&gt;=0,"여유","초과"))</x:f>
      </x:c>
    </x:row>
    <x:row r="111">
      <x:c r="A111" s="56"/>
      <x:c r="B111" s="64"/>
      <x:c r="C111" s="66" t="str">
        <x:f>IF(A111="","",SUMIF('09_예산상세'!$A$5:$A$204,A111,'09_예산상세'!$C$5:$C$204))</x:f>
      </x:c>
      <x:c r="D111" s="66" t="str">
        <x:f>IF(A111="","",B111-C111)</x:f>
      </x:c>
      <x:c r="E111" s="65" t="str">
        <x:f>IF(A111="","",IF(D111&gt;=0,"여유","초과"))</x:f>
      </x:c>
    </x:row>
    <x:row r="112">
      <x:c r="A112" s="56"/>
      <x:c r="B112" s="64"/>
      <x:c r="C112" s="66" t="str">
        <x:f>IF(A112="","",SUMIF('09_예산상세'!$A$5:$A$204,A112,'09_예산상세'!$C$5:$C$204))</x:f>
      </x:c>
      <x:c r="D112" s="66" t="str">
        <x:f>IF(A112="","",B112-C112)</x:f>
      </x:c>
      <x:c r="E112" s="65" t="str">
        <x:f>IF(A112="","",IF(D112&gt;=0,"여유","초과"))</x:f>
      </x:c>
    </x:row>
    <x:row r="113">
      <x:c r="A113" s="56"/>
      <x:c r="B113" s="64"/>
      <x:c r="C113" s="66" t="str">
        <x:f>IF(A113="","",SUMIF('09_예산상세'!$A$5:$A$204,A113,'09_예산상세'!$C$5:$C$204))</x:f>
      </x:c>
      <x:c r="D113" s="66" t="str">
        <x:f>IF(A113="","",B113-C113)</x:f>
      </x:c>
      <x:c r="E113" s="65" t="str">
        <x:f>IF(A113="","",IF(D113&gt;=0,"여유","초과"))</x:f>
      </x:c>
    </x:row>
    <x:row r="114">
      <x:c r="A114" s="56"/>
      <x:c r="B114" s="64"/>
      <x:c r="C114" s="66" t="str">
        <x:f>IF(A114="","",SUMIF('09_예산상세'!$A$5:$A$204,A114,'09_예산상세'!$C$5:$C$204))</x:f>
      </x:c>
      <x:c r="D114" s="66" t="str">
        <x:f>IF(A114="","",B114-C114)</x:f>
      </x:c>
      <x:c r="E114" s="65" t="str">
        <x:f>IF(A114="","",IF(D114&gt;=0,"여유","초과"))</x:f>
      </x:c>
    </x:row>
    <x:row r="115">
      <x:c r="A115" s="56"/>
      <x:c r="B115" s="64"/>
      <x:c r="C115" s="66" t="str">
        <x:f>IF(A115="","",SUMIF('09_예산상세'!$A$5:$A$204,A115,'09_예산상세'!$C$5:$C$204))</x:f>
      </x:c>
      <x:c r="D115" s="66" t="str">
        <x:f>IF(A115="","",B115-C115)</x:f>
      </x:c>
      <x:c r="E115" s="65" t="str">
        <x:f>IF(A115="","",IF(D115&gt;=0,"여유","초과"))</x:f>
      </x:c>
    </x:row>
    <x:row r="116">
      <x:c r="A116" s="56"/>
      <x:c r="B116" s="64"/>
      <x:c r="C116" s="66" t="str">
        <x:f>IF(A116="","",SUMIF('09_예산상세'!$A$5:$A$204,A116,'09_예산상세'!$C$5:$C$204))</x:f>
      </x:c>
      <x:c r="D116" s="66" t="str">
        <x:f>IF(A116="","",B116-C116)</x:f>
      </x:c>
      <x:c r="E116" s="65" t="str">
        <x:f>IF(A116="","",IF(D116&gt;=0,"여유","초과"))</x:f>
      </x:c>
    </x:row>
    <x:row r="117">
      <x:c r="A117" s="56"/>
      <x:c r="B117" s="64"/>
      <x:c r="C117" s="66" t="str">
        <x:f>IF(A117="","",SUMIF('09_예산상세'!$A$5:$A$204,A117,'09_예산상세'!$C$5:$C$204))</x:f>
      </x:c>
      <x:c r="D117" s="66" t="str">
        <x:f>IF(A117="","",B117-C117)</x:f>
      </x:c>
      <x:c r="E117" s="65" t="str">
        <x:f>IF(A117="","",IF(D117&gt;=0,"여유","초과"))</x:f>
      </x:c>
    </x:row>
    <x:row r="118">
      <x:c r="A118" s="56"/>
      <x:c r="B118" s="64"/>
      <x:c r="C118" s="66" t="str">
        <x:f>IF(A118="","",SUMIF('09_예산상세'!$A$5:$A$204,A118,'09_예산상세'!$C$5:$C$204))</x:f>
      </x:c>
      <x:c r="D118" s="66" t="str">
        <x:f>IF(A118="","",B118-C118)</x:f>
      </x:c>
      <x:c r="E118" s="65" t="str">
        <x:f>IF(A118="","",IF(D118&gt;=0,"여유","초과"))</x:f>
      </x:c>
    </x:row>
    <x:row r="119">
      <x:c r="A119" s="56"/>
      <x:c r="B119" s="64"/>
      <x:c r="C119" s="66" t="str">
        <x:f>IF(A119="","",SUMIF('09_예산상세'!$A$5:$A$204,A119,'09_예산상세'!$C$5:$C$204))</x:f>
      </x:c>
      <x:c r="D119" s="66" t="str">
        <x:f>IF(A119="","",B119-C119)</x:f>
      </x:c>
      <x:c r="E119" s="65" t="str">
        <x:f>IF(A119="","",IF(D119&gt;=0,"여유","초과"))</x:f>
      </x:c>
    </x:row>
    <x:row r="120">
      <x:c r="A120" s="56"/>
      <x:c r="B120" s="64"/>
      <x:c r="C120" s="66" t="str">
        <x:f>IF(A120="","",SUMIF('09_예산상세'!$A$5:$A$204,A120,'09_예산상세'!$C$5:$C$204))</x:f>
      </x:c>
      <x:c r="D120" s="66" t="str">
        <x:f>IF(A120="","",B120-C120)</x:f>
      </x:c>
      <x:c r="E120" s="65" t="str">
        <x:f>IF(A120="","",IF(D120&gt;=0,"여유","초과"))</x:f>
      </x:c>
    </x:row>
    <x:row r="121">
      <x:c r="A121" s="56"/>
      <x:c r="B121" s="64"/>
      <x:c r="C121" s="66" t="str">
        <x:f>IF(A121="","",SUMIF('09_예산상세'!$A$5:$A$204,A121,'09_예산상세'!$C$5:$C$204))</x:f>
      </x:c>
      <x:c r="D121" s="66" t="str">
        <x:f>IF(A121="","",B121-C121)</x:f>
      </x:c>
      <x:c r="E121" s="65" t="str">
        <x:f>IF(A121="","",IF(D121&gt;=0,"여유","초과"))</x:f>
      </x:c>
    </x:row>
    <x:row r="122">
      <x:c r="A122" s="56"/>
      <x:c r="B122" s="64"/>
      <x:c r="C122" s="66" t="str">
        <x:f>IF(A122="","",SUMIF('09_예산상세'!$A$5:$A$204,A122,'09_예산상세'!$C$5:$C$204))</x:f>
      </x:c>
      <x:c r="D122" s="66" t="str">
        <x:f>IF(A122="","",B122-C122)</x:f>
      </x:c>
      <x:c r="E122" s="65" t="str">
        <x:f>IF(A122="","",IF(D122&gt;=0,"여유","초과"))</x:f>
      </x:c>
    </x:row>
    <x:row r="123">
      <x:c r="A123" s="56"/>
      <x:c r="B123" s="64"/>
      <x:c r="C123" s="66" t="str">
        <x:f>IF(A123="","",SUMIF('09_예산상세'!$A$5:$A$204,A123,'09_예산상세'!$C$5:$C$204))</x:f>
      </x:c>
      <x:c r="D123" s="66" t="str">
        <x:f>IF(A123="","",B123-C123)</x:f>
      </x:c>
      <x:c r="E123" s="65" t="str">
        <x:f>IF(A123="","",IF(D123&gt;=0,"여유","초과"))</x:f>
      </x:c>
    </x:row>
    <x:row r="124">
      <x:c r="A124" s="56"/>
      <x:c r="B124" s="64"/>
      <x:c r="C124" s="66" t="str">
        <x:f>IF(A124="","",SUMIF('09_예산상세'!$A$5:$A$204,A124,'09_예산상세'!$C$5:$C$204))</x:f>
      </x:c>
      <x:c r="D124" s="66" t="str">
        <x:f>IF(A124="","",B124-C124)</x:f>
      </x:c>
      <x:c r="E124" s="65" t="str">
        <x:f>IF(A124="","",IF(D124&gt;=0,"여유","초과"))</x:f>
      </x:c>
    </x:row>
    <x:row r="125">
      <x:c r="A125" s="56"/>
      <x:c r="B125" s="64"/>
      <x:c r="C125" s="66" t="str">
        <x:f>IF(A125="","",SUMIF('09_예산상세'!$A$5:$A$204,A125,'09_예산상세'!$C$5:$C$204))</x:f>
      </x:c>
      <x:c r="D125" s="66" t="str">
        <x:f>IF(A125="","",B125-C125)</x:f>
      </x:c>
      <x:c r="E125" s="65" t="str">
        <x:f>IF(A125="","",IF(D125&gt;=0,"여유","초과"))</x:f>
      </x:c>
    </x:row>
    <x:row r="126">
      <x:c r="A126" s="56"/>
      <x:c r="B126" s="64"/>
      <x:c r="C126" s="66" t="str">
        <x:f>IF(A126="","",SUMIF('09_예산상세'!$A$5:$A$204,A126,'09_예산상세'!$C$5:$C$204))</x:f>
      </x:c>
      <x:c r="D126" s="66" t="str">
        <x:f>IF(A126="","",B126-C126)</x:f>
      </x:c>
      <x:c r="E126" s="65" t="str">
        <x:f>IF(A126="","",IF(D126&gt;=0,"여유","초과"))</x:f>
      </x:c>
    </x:row>
    <x:row r="127">
      <x:c r="A127" s="56"/>
      <x:c r="B127" s="64"/>
      <x:c r="C127" s="66" t="str">
        <x:f>IF(A127="","",SUMIF('09_예산상세'!$A$5:$A$204,A127,'09_예산상세'!$C$5:$C$204))</x:f>
      </x:c>
      <x:c r="D127" s="66" t="str">
        <x:f>IF(A127="","",B127-C127)</x:f>
      </x:c>
      <x:c r="E127" s="65" t="str">
        <x:f>IF(A127="","",IF(D127&gt;=0,"여유","초과"))</x:f>
      </x:c>
    </x:row>
    <x:row r="128">
      <x:c r="A128" s="56"/>
      <x:c r="B128" s="64"/>
      <x:c r="C128" s="66" t="str">
        <x:f>IF(A128="","",SUMIF('09_예산상세'!$A$5:$A$204,A128,'09_예산상세'!$C$5:$C$204))</x:f>
      </x:c>
      <x:c r="D128" s="66" t="str">
        <x:f>IF(A128="","",B128-C128)</x:f>
      </x:c>
      <x:c r="E128" s="65" t="str">
        <x:f>IF(A128="","",IF(D128&gt;=0,"여유","초과"))</x:f>
      </x:c>
    </x:row>
    <x:row r="129">
      <x:c r="A129" s="56"/>
      <x:c r="B129" s="64"/>
      <x:c r="C129" s="66" t="str">
        <x:f>IF(A129="","",SUMIF('09_예산상세'!$A$5:$A$204,A129,'09_예산상세'!$C$5:$C$204))</x:f>
      </x:c>
      <x:c r="D129" s="66" t="str">
        <x:f>IF(A129="","",B129-C129)</x:f>
      </x:c>
      <x:c r="E129" s="65" t="str">
        <x:f>IF(A129="","",IF(D129&gt;=0,"여유","초과"))</x:f>
      </x:c>
    </x:row>
    <x:row r="130">
      <x:c r="A130" s="56"/>
      <x:c r="B130" s="64"/>
      <x:c r="C130" s="66" t="str">
        <x:f>IF(A130="","",SUMIF('09_예산상세'!$A$5:$A$204,A130,'09_예산상세'!$C$5:$C$204))</x:f>
      </x:c>
      <x:c r="D130" s="66" t="str">
        <x:f>IF(A130="","",B130-C130)</x:f>
      </x:c>
      <x:c r="E130" s="65" t="str">
        <x:f>IF(A130="","",IF(D130&gt;=0,"여유","초과"))</x:f>
      </x:c>
    </x:row>
    <x:row r="131">
      <x:c r="A131" s="56"/>
      <x:c r="B131" s="64"/>
      <x:c r="C131" s="66" t="str">
        <x:f>IF(A131="","",SUMIF('09_예산상세'!$A$5:$A$204,A131,'09_예산상세'!$C$5:$C$204))</x:f>
      </x:c>
      <x:c r="D131" s="66" t="str">
        <x:f>IF(A131="","",B131-C131)</x:f>
      </x:c>
      <x:c r="E131" s="65" t="str">
        <x:f>IF(A131="","",IF(D131&gt;=0,"여유","초과"))</x:f>
      </x:c>
    </x:row>
    <x:row r="132">
      <x:c r="A132" s="56"/>
      <x:c r="B132" s="64"/>
      <x:c r="C132" s="66" t="str">
        <x:f>IF(A132="","",SUMIF('09_예산상세'!$A$5:$A$204,A132,'09_예산상세'!$C$5:$C$204))</x:f>
      </x:c>
      <x:c r="D132" s="66" t="str">
        <x:f>IF(A132="","",B132-C132)</x:f>
      </x:c>
      <x:c r="E132" s="65" t="str">
        <x:f>IF(A132="","",IF(D132&gt;=0,"여유","초과"))</x:f>
      </x:c>
    </x:row>
    <x:row r="133">
      <x:c r="A133" s="56"/>
      <x:c r="B133" s="64"/>
      <x:c r="C133" s="66" t="str">
        <x:f>IF(A133="","",SUMIF('09_예산상세'!$A$5:$A$204,A133,'09_예산상세'!$C$5:$C$204))</x:f>
      </x:c>
      <x:c r="D133" s="66" t="str">
        <x:f>IF(A133="","",B133-C133)</x:f>
      </x:c>
      <x:c r="E133" s="65" t="str">
        <x:f>IF(A133="","",IF(D133&gt;=0,"여유","초과"))</x:f>
      </x:c>
    </x:row>
    <x:row r="134">
      <x:c r="A134" s="56"/>
      <x:c r="B134" s="64"/>
      <x:c r="C134" s="66" t="str">
        <x:f>IF(A134="","",SUMIF('09_예산상세'!$A$5:$A$204,A134,'09_예산상세'!$C$5:$C$204))</x:f>
      </x:c>
      <x:c r="D134" s="66" t="str">
        <x:f>IF(A134="","",B134-C134)</x:f>
      </x:c>
      <x:c r="E134" s="65" t="str">
        <x:f>IF(A134="","",IF(D134&gt;=0,"여유","초과"))</x:f>
      </x:c>
    </x:row>
    <x:row r="135">
      <x:c r="A135" s="56"/>
      <x:c r="B135" s="64"/>
      <x:c r="C135" s="66" t="str">
        <x:f>IF(A135="","",SUMIF('09_예산상세'!$A$5:$A$204,A135,'09_예산상세'!$C$5:$C$204))</x:f>
      </x:c>
      <x:c r="D135" s="66" t="str">
        <x:f>IF(A135="","",B135-C135)</x:f>
      </x:c>
      <x:c r="E135" s="65" t="str">
        <x:f>IF(A135="","",IF(D135&gt;=0,"여유","초과"))</x:f>
      </x:c>
    </x:row>
    <x:row r="136">
      <x:c r="A136" s="56"/>
      <x:c r="B136" s="64"/>
      <x:c r="C136" s="66" t="str">
        <x:f>IF(A136="","",SUMIF('09_예산상세'!$A$5:$A$204,A136,'09_예산상세'!$C$5:$C$204))</x:f>
      </x:c>
      <x:c r="D136" s="66" t="str">
        <x:f>IF(A136="","",B136-C136)</x:f>
      </x:c>
      <x:c r="E136" s="65" t="str">
        <x:f>IF(A136="","",IF(D136&gt;=0,"여유","초과"))</x:f>
      </x:c>
    </x:row>
    <x:row r="137">
      <x:c r="A137" s="56"/>
      <x:c r="B137" s="64"/>
      <x:c r="C137" s="66" t="str">
        <x:f>IF(A137="","",SUMIF('09_예산상세'!$A$5:$A$204,A137,'09_예산상세'!$C$5:$C$204))</x:f>
      </x:c>
      <x:c r="D137" s="66" t="str">
        <x:f>IF(A137="","",B137-C137)</x:f>
      </x:c>
      <x:c r="E137" s="65" t="str">
        <x:f>IF(A137="","",IF(D137&gt;=0,"여유","초과"))</x:f>
      </x:c>
    </x:row>
    <x:row r="138">
      <x:c r="A138" s="56"/>
      <x:c r="B138" s="64"/>
      <x:c r="C138" s="66" t="str">
        <x:f>IF(A138="","",SUMIF('09_예산상세'!$A$5:$A$204,A138,'09_예산상세'!$C$5:$C$204))</x:f>
      </x:c>
      <x:c r="D138" s="66" t="str">
        <x:f>IF(A138="","",B138-C138)</x:f>
      </x:c>
      <x:c r="E138" s="65" t="str">
        <x:f>IF(A138="","",IF(D138&gt;=0,"여유","초과"))</x:f>
      </x:c>
    </x:row>
    <x:row r="139">
      <x:c r="A139" s="56"/>
      <x:c r="B139" s="64"/>
      <x:c r="C139" s="66" t="str">
        <x:f>IF(A139="","",SUMIF('09_예산상세'!$A$5:$A$204,A139,'09_예산상세'!$C$5:$C$204))</x:f>
      </x:c>
      <x:c r="D139" s="66" t="str">
        <x:f>IF(A139="","",B139-C139)</x:f>
      </x:c>
      <x:c r="E139" s="65" t="str">
        <x:f>IF(A139="","",IF(D139&gt;=0,"여유","초과"))</x:f>
      </x:c>
    </x:row>
    <x:row r="140">
      <x:c r="A140" s="56"/>
      <x:c r="B140" s="64"/>
      <x:c r="C140" s="66" t="str">
        <x:f>IF(A140="","",SUMIF('09_예산상세'!$A$5:$A$204,A140,'09_예산상세'!$C$5:$C$204))</x:f>
      </x:c>
      <x:c r="D140" s="66" t="str">
        <x:f>IF(A140="","",B140-C140)</x:f>
      </x:c>
      <x:c r="E140" s="65" t="str">
        <x:f>IF(A140="","",IF(D140&gt;=0,"여유","초과"))</x:f>
      </x:c>
    </x:row>
    <x:row r="141">
      <x:c r="A141" s="56"/>
      <x:c r="B141" s="64"/>
      <x:c r="C141" s="66" t="str">
        <x:f>IF(A141="","",SUMIF('09_예산상세'!$A$5:$A$204,A141,'09_예산상세'!$C$5:$C$204))</x:f>
      </x:c>
      <x:c r="D141" s="66" t="str">
        <x:f>IF(A141="","",B141-C141)</x:f>
      </x:c>
      <x:c r="E141" s="65" t="str">
        <x:f>IF(A141="","",IF(D141&gt;=0,"여유","초과"))</x:f>
      </x:c>
    </x:row>
    <x:row r="142">
      <x:c r="A142" s="56"/>
      <x:c r="B142" s="64"/>
      <x:c r="C142" s="66" t="str">
        <x:f>IF(A142="","",SUMIF('09_예산상세'!$A$5:$A$204,A142,'09_예산상세'!$C$5:$C$204))</x:f>
      </x:c>
      <x:c r="D142" s="66" t="str">
        <x:f>IF(A142="","",B142-C142)</x:f>
      </x:c>
      <x:c r="E142" s="65" t="str">
        <x:f>IF(A142="","",IF(D142&gt;=0,"여유","초과"))</x:f>
      </x:c>
    </x:row>
    <x:row r="143">
      <x:c r="A143" s="56"/>
      <x:c r="B143" s="64"/>
      <x:c r="C143" s="66" t="str">
        <x:f>IF(A143="","",SUMIF('09_예산상세'!$A$5:$A$204,A143,'09_예산상세'!$C$5:$C$204))</x:f>
      </x:c>
      <x:c r="D143" s="66" t="str">
        <x:f>IF(A143="","",B143-C143)</x:f>
      </x:c>
      <x:c r="E143" s="65" t="str">
        <x:f>IF(A143="","",IF(D143&gt;=0,"여유","초과"))</x:f>
      </x:c>
    </x:row>
    <x:row r="144">
      <x:c r="A144" s="56"/>
      <x:c r="B144" s="64"/>
      <x:c r="C144" s="66" t="str">
        <x:f>IF(A144="","",SUMIF('09_예산상세'!$A$5:$A$204,A144,'09_예산상세'!$C$5:$C$204))</x:f>
      </x:c>
      <x:c r="D144" s="66" t="str">
        <x:f>IF(A144="","",B144-C144)</x:f>
      </x:c>
      <x:c r="E144" s="65" t="str">
        <x:f>IF(A144="","",IF(D144&gt;=0,"여유","초과"))</x:f>
      </x:c>
    </x:row>
    <x:row r="145">
      <x:c r="A145" s="56"/>
      <x:c r="B145" s="64"/>
      <x:c r="C145" s="66" t="str">
        <x:f>IF(A145="","",SUMIF('09_예산상세'!$A$5:$A$204,A145,'09_예산상세'!$C$5:$C$204))</x:f>
      </x:c>
      <x:c r="D145" s="66" t="str">
        <x:f>IF(A145="","",B145-C145)</x:f>
      </x:c>
      <x:c r="E145" s="65" t="str">
        <x:f>IF(A145="","",IF(D145&gt;=0,"여유","초과"))</x:f>
      </x:c>
    </x:row>
    <x:row r="146">
      <x:c r="A146" s="56"/>
      <x:c r="B146" s="64"/>
      <x:c r="C146" s="66" t="str">
        <x:f>IF(A146="","",SUMIF('09_예산상세'!$A$5:$A$204,A146,'09_예산상세'!$C$5:$C$204))</x:f>
      </x:c>
      <x:c r="D146" s="66" t="str">
        <x:f>IF(A146="","",B146-C146)</x:f>
      </x:c>
      <x:c r="E146" s="65" t="str">
        <x:f>IF(A146="","",IF(D146&gt;=0,"여유","초과"))</x:f>
      </x:c>
    </x:row>
    <x:row r="147">
      <x:c r="A147" s="56"/>
      <x:c r="B147" s="64"/>
      <x:c r="C147" s="66" t="str">
        <x:f>IF(A147="","",SUMIF('09_예산상세'!$A$5:$A$204,A147,'09_예산상세'!$C$5:$C$204))</x:f>
      </x:c>
      <x:c r="D147" s="66" t="str">
        <x:f>IF(A147="","",B147-C147)</x:f>
      </x:c>
      <x:c r="E147" s="65" t="str">
        <x:f>IF(A147="","",IF(D147&gt;=0,"여유","초과"))</x:f>
      </x:c>
    </x:row>
    <x:row r="148">
      <x:c r="A148" s="56"/>
      <x:c r="B148" s="64"/>
      <x:c r="C148" s="66" t="str">
        <x:f>IF(A148="","",SUMIF('09_예산상세'!$A$5:$A$204,A148,'09_예산상세'!$C$5:$C$204))</x:f>
      </x:c>
      <x:c r="D148" s="66" t="str">
        <x:f>IF(A148="","",B148-C148)</x:f>
      </x:c>
      <x:c r="E148" s="65" t="str">
        <x:f>IF(A148="","",IF(D148&gt;=0,"여유","초과"))</x:f>
      </x:c>
    </x:row>
    <x:row r="149">
      <x:c r="A149" s="56"/>
      <x:c r="B149" s="64"/>
      <x:c r="C149" s="66" t="str">
        <x:f>IF(A149="","",SUMIF('09_예산상세'!$A$5:$A$204,A149,'09_예산상세'!$C$5:$C$204))</x:f>
      </x:c>
      <x:c r="D149" s="66" t="str">
        <x:f>IF(A149="","",B149-C149)</x:f>
      </x:c>
      <x:c r="E149" s="65" t="str">
        <x:f>IF(A149="","",IF(D149&gt;=0,"여유","초과"))</x:f>
      </x:c>
    </x:row>
    <x:row r="150">
      <x:c r="A150" s="56"/>
      <x:c r="B150" s="64"/>
      <x:c r="C150" s="66" t="str">
        <x:f>IF(A150="","",SUMIF('09_예산상세'!$A$5:$A$204,A150,'09_예산상세'!$C$5:$C$204))</x:f>
      </x:c>
      <x:c r="D150" s="66" t="str">
        <x:f>IF(A150="","",B150-C150)</x:f>
      </x:c>
      <x:c r="E150" s="65" t="str">
        <x:f>IF(A150="","",IF(D150&gt;=0,"여유","초과"))</x:f>
      </x:c>
    </x:row>
    <x:row r="151">
      <x:c r="A151" s="56"/>
      <x:c r="B151" s="64"/>
      <x:c r="C151" s="66" t="str">
        <x:f>IF(A151="","",SUMIF('09_예산상세'!$A$5:$A$204,A151,'09_예산상세'!$C$5:$C$204))</x:f>
      </x:c>
      <x:c r="D151" s="66" t="str">
        <x:f>IF(A151="","",B151-C151)</x:f>
      </x:c>
      <x:c r="E151" s="65" t="str">
        <x:f>IF(A151="","",IF(D151&gt;=0,"여유","초과"))</x:f>
      </x:c>
    </x:row>
    <x:row r="152">
      <x:c r="A152" s="56"/>
      <x:c r="B152" s="64"/>
      <x:c r="C152" s="66" t="str">
        <x:f>IF(A152="","",SUMIF('09_예산상세'!$A$5:$A$204,A152,'09_예산상세'!$C$5:$C$204))</x:f>
      </x:c>
      <x:c r="D152" s="66" t="str">
        <x:f>IF(A152="","",B152-C152)</x:f>
      </x:c>
      <x:c r="E152" s="65" t="str">
        <x:f>IF(A152="","",IF(D152&gt;=0,"여유","초과"))</x:f>
      </x:c>
    </x:row>
    <x:row r="153">
      <x:c r="A153" s="56"/>
      <x:c r="B153" s="64"/>
      <x:c r="C153" s="66" t="str">
        <x:f>IF(A153="","",SUMIF('09_예산상세'!$A$5:$A$204,A153,'09_예산상세'!$C$5:$C$204))</x:f>
      </x:c>
      <x:c r="D153" s="66" t="str">
        <x:f>IF(A153="","",B153-C153)</x:f>
      </x:c>
      <x:c r="E153" s="65" t="str">
        <x:f>IF(A153="","",IF(D153&gt;=0,"여유","초과"))</x:f>
      </x:c>
    </x:row>
    <x:row r="154">
      <x:c r="A154" s="56"/>
      <x:c r="B154" s="64"/>
      <x:c r="C154" s="66" t="str">
        <x:f>IF(A154="","",SUMIF('09_예산상세'!$A$5:$A$204,A154,'09_예산상세'!$C$5:$C$204))</x:f>
      </x:c>
      <x:c r="D154" s="66" t="str">
        <x:f>IF(A154="","",B154-C154)</x:f>
      </x:c>
      <x:c r="E154" s="65" t="str">
        <x:f>IF(A154="","",IF(D154&gt;=0,"여유","초과"))</x:f>
      </x:c>
    </x:row>
    <x:row r="155">
      <x:c r="A155" s="56"/>
      <x:c r="B155" s="64"/>
      <x:c r="C155" s="66" t="str">
        <x:f>IF(A155="","",SUMIF('09_예산상세'!$A$5:$A$204,A155,'09_예산상세'!$C$5:$C$204))</x:f>
      </x:c>
      <x:c r="D155" s="66" t="str">
        <x:f>IF(A155="","",B155-C155)</x:f>
      </x:c>
      <x:c r="E155" s="65" t="str">
        <x:f>IF(A155="","",IF(D155&gt;=0,"여유","초과"))</x:f>
      </x:c>
    </x:row>
    <x:row r="156">
      <x:c r="A156" s="56"/>
      <x:c r="B156" s="64"/>
      <x:c r="C156" s="66" t="str">
        <x:f>IF(A156="","",SUMIF('09_예산상세'!$A$5:$A$204,A156,'09_예산상세'!$C$5:$C$204))</x:f>
      </x:c>
      <x:c r="D156" s="66" t="str">
        <x:f>IF(A156="","",B156-C156)</x:f>
      </x:c>
      <x:c r="E156" s="65" t="str">
        <x:f>IF(A156="","",IF(D156&gt;=0,"여유","초과"))</x:f>
      </x:c>
    </x:row>
    <x:row r="157">
      <x:c r="A157" s="56"/>
      <x:c r="B157" s="64"/>
      <x:c r="C157" s="66" t="str">
        <x:f>IF(A157="","",SUMIF('09_예산상세'!$A$5:$A$204,A157,'09_예산상세'!$C$5:$C$204))</x:f>
      </x:c>
      <x:c r="D157" s="66" t="str">
        <x:f>IF(A157="","",B157-C157)</x:f>
      </x:c>
      <x:c r="E157" s="65" t="str">
        <x:f>IF(A157="","",IF(D157&gt;=0,"여유","초과"))</x:f>
      </x:c>
    </x:row>
    <x:row r="158">
      <x:c r="A158" s="56"/>
      <x:c r="B158" s="64"/>
      <x:c r="C158" s="66" t="str">
        <x:f>IF(A158="","",SUMIF('09_예산상세'!$A$5:$A$204,A158,'09_예산상세'!$C$5:$C$204))</x:f>
      </x:c>
      <x:c r="D158" s="66" t="str">
        <x:f>IF(A158="","",B158-C158)</x:f>
      </x:c>
      <x:c r="E158" s="65" t="str">
        <x:f>IF(A158="","",IF(D158&gt;=0,"여유","초과"))</x:f>
      </x:c>
    </x:row>
    <x:row r="159">
      <x:c r="A159" s="56"/>
      <x:c r="B159" s="64"/>
      <x:c r="C159" s="66" t="str">
        <x:f>IF(A159="","",SUMIF('09_예산상세'!$A$5:$A$204,A159,'09_예산상세'!$C$5:$C$204))</x:f>
      </x:c>
      <x:c r="D159" s="66" t="str">
        <x:f>IF(A159="","",B159-C159)</x:f>
      </x:c>
      <x:c r="E159" s="65" t="str">
        <x:f>IF(A159="","",IF(D159&gt;=0,"여유","초과"))</x:f>
      </x:c>
    </x:row>
    <x:row r="160">
      <x:c r="A160" s="56"/>
      <x:c r="B160" s="64"/>
      <x:c r="C160" s="66" t="str">
        <x:f>IF(A160="","",SUMIF('09_예산상세'!$A$5:$A$204,A160,'09_예산상세'!$C$5:$C$204))</x:f>
      </x:c>
      <x:c r="D160" s="66" t="str">
        <x:f>IF(A160="","",B160-C160)</x:f>
      </x:c>
      <x:c r="E160" s="65" t="str">
        <x:f>IF(A160="","",IF(D160&gt;=0,"여유","초과"))</x:f>
      </x:c>
    </x:row>
    <x:row r="161">
      <x:c r="A161" s="56"/>
      <x:c r="B161" s="64"/>
      <x:c r="C161" s="66" t="str">
        <x:f>IF(A161="","",SUMIF('09_예산상세'!$A$5:$A$204,A161,'09_예산상세'!$C$5:$C$204))</x:f>
      </x:c>
      <x:c r="D161" s="66" t="str">
        <x:f>IF(A161="","",B161-C161)</x:f>
      </x:c>
      <x:c r="E161" s="65" t="str">
        <x:f>IF(A161="","",IF(D161&gt;=0,"여유","초과"))</x:f>
      </x:c>
    </x:row>
    <x:row r="162">
      <x:c r="A162" s="56"/>
      <x:c r="B162" s="64"/>
      <x:c r="C162" s="66" t="str">
        <x:f>IF(A162="","",SUMIF('09_예산상세'!$A$5:$A$204,A162,'09_예산상세'!$C$5:$C$204))</x:f>
      </x:c>
      <x:c r="D162" s="66" t="str">
        <x:f>IF(A162="","",B162-C162)</x:f>
      </x:c>
      <x:c r="E162" s="65" t="str">
        <x:f>IF(A162="","",IF(D162&gt;=0,"여유","초과"))</x:f>
      </x:c>
    </x:row>
    <x:row r="163">
      <x:c r="A163" s="56"/>
      <x:c r="B163" s="64"/>
      <x:c r="C163" s="66" t="str">
        <x:f>IF(A163="","",SUMIF('09_예산상세'!$A$5:$A$204,A163,'09_예산상세'!$C$5:$C$204))</x:f>
      </x:c>
      <x:c r="D163" s="66" t="str">
        <x:f>IF(A163="","",B163-C163)</x:f>
      </x:c>
      <x:c r="E163" s="65" t="str">
        <x:f>IF(A163="","",IF(D163&gt;=0,"여유","초과"))</x:f>
      </x:c>
    </x:row>
    <x:row r="164">
      <x:c r="A164" s="56"/>
      <x:c r="B164" s="64"/>
      <x:c r="C164" s="66" t="str">
        <x:f>IF(A164="","",SUMIF('09_예산상세'!$A$5:$A$204,A164,'09_예산상세'!$C$5:$C$204))</x:f>
      </x:c>
      <x:c r="D164" s="66" t="str">
        <x:f>IF(A164="","",B164-C164)</x:f>
      </x:c>
      <x:c r="E164" s="65" t="str">
        <x:f>IF(A164="","",IF(D164&gt;=0,"여유","초과"))</x:f>
      </x:c>
    </x:row>
    <x:row r="165">
      <x:c r="A165" s="56"/>
      <x:c r="B165" s="64"/>
      <x:c r="C165" s="66" t="str">
        <x:f>IF(A165="","",SUMIF('09_예산상세'!$A$5:$A$204,A165,'09_예산상세'!$C$5:$C$204))</x:f>
      </x:c>
      <x:c r="D165" s="66" t="str">
        <x:f>IF(A165="","",B165-C165)</x:f>
      </x:c>
      <x:c r="E165" s="65" t="str">
        <x:f>IF(A165="","",IF(D165&gt;=0,"여유","초과"))</x:f>
      </x:c>
    </x:row>
    <x:row r="166">
      <x:c r="A166" s="56"/>
      <x:c r="B166" s="64"/>
      <x:c r="C166" s="66" t="str">
        <x:f>IF(A166="","",SUMIF('09_예산상세'!$A$5:$A$204,A166,'09_예산상세'!$C$5:$C$204))</x:f>
      </x:c>
      <x:c r="D166" s="66" t="str">
        <x:f>IF(A166="","",B166-C166)</x:f>
      </x:c>
      <x:c r="E166" s="65" t="str">
        <x:f>IF(A166="","",IF(D166&gt;=0,"여유","초과"))</x:f>
      </x:c>
    </x:row>
    <x:row r="167">
      <x:c r="A167" s="56"/>
      <x:c r="B167" s="64"/>
      <x:c r="C167" s="66" t="str">
        <x:f>IF(A167="","",SUMIF('09_예산상세'!$A$5:$A$204,A167,'09_예산상세'!$C$5:$C$204))</x:f>
      </x:c>
      <x:c r="D167" s="66" t="str">
        <x:f>IF(A167="","",B167-C167)</x:f>
      </x:c>
      <x:c r="E167" s="65" t="str">
        <x:f>IF(A167="","",IF(D167&gt;=0,"여유","초과"))</x:f>
      </x:c>
    </x:row>
    <x:row r="168">
      <x:c r="A168" s="56"/>
      <x:c r="B168" s="64"/>
      <x:c r="C168" s="66" t="str">
        <x:f>IF(A168="","",SUMIF('09_예산상세'!$A$5:$A$204,A168,'09_예산상세'!$C$5:$C$204))</x:f>
      </x:c>
      <x:c r="D168" s="66" t="str">
        <x:f>IF(A168="","",B168-C168)</x:f>
      </x:c>
      <x:c r="E168" s="65" t="str">
        <x:f>IF(A168="","",IF(D168&gt;=0,"여유","초과"))</x:f>
      </x:c>
    </x:row>
    <x:row r="169">
      <x:c r="A169" s="56"/>
      <x:c r="B169" s="64"/>
      <x:c r="C169" s="66" t="str">
        <x:f>IF(A169="","",SUMIF('09_예산상세'!$A$5:$A$204,A169,'09_예산상세'!$C$5:$C$204))</x:f>
      </x:c>
      <x:c r="D169" s="66" t="str">
        <x:f>IF(A169="","",B169-C169)</x:f>
      </x:c>
      <x:c r="E169" s="65" t="str">
        <x:f>IF(A169="","",IF(D169&gt;=0,"여유","초과"))</x:f>
      </x:c>
    </x:row>
    <x:row r="170">
      <x:c r="A170" s="56"/>
      <x:c r="B170" s="64"/>
      <x:c r="C170" s="66" t="str">
        <x:f>IF(A170="","",SUMIF('09_예산상세'!$A$5:$A$204,A170,'09_예산상세'!$C$5:$C$204))</x:f>
      </x:c>
      <x:c r="D170" s="66" t="str">
        <x:f>IF(A170="","",B170-C170)</x:f>
      </x:c>
      <x:c r="E170" s="65" t="str">
        <x:f>IF(A170="","",IF(D170&gt;=0,"여유","초과"))</x:f>
      </x:c>
    </x:row>
    <x:row r="171">
      <x:c r="A171" s="56"/>
      <x:c r="B171" s="64"/>
      <x:c r="C171" s="66" t="str">
        <x:f>IF(A171="","",SUMIF('09_예산상세'!$A$5:$A$204,A171,'09_예산상세'!$C$5:$C$204))</x:f>
      </x:c>
      <x:c r="D171" s="66" t="str">
        <x:f>IF(A171="","",B171-C171)</x:f>
      </x:c>
      <x:c r="E171" s="65" t="str">
        <x:f>IF(A171="","",IF(D171&gt;=0,"여유","초과"))</x:f>
      </x:c>
    </x:row>
    <x:row r="172">
      <x:c r="A172" s="56"/>
      <x:c r="B172" s="64"/>
      <x:c r="C172" s="66" t="str">
        <x:f>IF(A172="","",SUMIF('09_예산상세'!$A$5:$A$204,A172,'09_예산상세'!$C$5:$C$204))</x:f>
      </x:c>
      <x:c r="D172" s="66" t="str">
        <x:f>IF(A172="","",B172-C172)</x:f>
      </x:c>
      <x:c r="E172" s="65" t="str">
        <x:f>IF(A172="","",IF(D172&gt;=0,"여유","초과"))</x:f>
      </x:c>
    </x:row>
    <x:row r="173">
      <x:c r="A173" s="56"/>
      <x:c r="B173" s="64"/>
      <x:c r="C173" s="66" t="str">
        <x:f>IF(A173="","",SUMIF('09_예산상세'!$A$5:$A$204,A173,'09_예산상세'!$C$5:$C$204))</x:f>
      </x:c>
      <x:c r="D173" s="66" t="str">
        <x:f>IF(A173="","",B173-C173)</x:f>
      </x:c>
      <x:c r="E173" s="65" t="str">
        <x:f>IF(A173="","",IF(D173&gt;=0,"여유","초과"))</x:f>
      </x:c>
    </x:row>
    <x:row r="174">
      <x:c r="A174" s="56"/>
      <x:c r="B174" s="64"/>
      <x:c r="C174" s="66" t="str">
        <x:f>IF(A174="","",SUMIF('09_예산상세'!$A$5:$A$204,A174,'09_예산상세'!$C$5:$C$204))</x:f>
      </x:c>
      <x:c r="D174" s="66" t="str">
        <x:f>IF(A174="","",B174-C174)</x:f>
      </x:c>
      <x:c r="E174" s="65" t="str">
        <x:f>IF(A174="","",IF(D174&gt;=0,"여유","초과"))</x:f>
      </x:c>
    </x:row>
    <x:row r="175">
      <x:c r="A175" s="56"/>
      <x:c r="B175" s="64"/>
      <x:c r="C175" s="66" t="str">
        <x:f>IF(A175="","",SUMIF('09_예산상세'!$A$5:$A$204,A175,'09_예산상세'!$C$5:$C$204))</x:f>
      </x:c>
      <x:c r="D175" s="66" t="str">
        <x:f>IF(A175="","",B175-C175)</x:f>
      </x:c>
      <x:c r="E175" s="65" t="str">
        <x:f>IF(A175="","",IF(D175&gt;=0,"여유","초과"))</x:f>
      </x:c>
    </x:row>
    <x:row r="176">
      <x:c r="A176" s="56"/>
      <x:c r="B176" s="64"/>
      <x:c r="C176" s="66" t="str">
        <x:f>IF(A176="","",SUMIF('09_예산상세'!$A$5:$A$204,A176,'09_예산상세'!$C$5:$C$204))</x:f>
      </x:c>
      <x:c r="D176" s="66" t="str">
        <x:f>IF(A176="","",B176-C176)</x:f>
      </x:c>
      <x:c r="E176" s="65" t="str">
        <x:f>IF(A176="","",IF(D176&gt;=0,"여유","초과"))</x:f>
      </x:c>
    </x:row>
    <x:row r="177">
      <x:c r="A177" s="56"/>
      <x:c r="B177" s="64"/>
      <x:c r="C177" s="66" t="str">
        <x:f>IF(A177="","",SUMIF('09_예산상세'!$A$5:$A$204,A177,'09_예산상세'!$C$5:$C$204))</x:f>
      </x:c>
      <x:c r="D177" s="66" t="str">
        <x:f>IF(A177="","",B177-C177)</x:f>
      </x:c>
      <x:c r="E177" s="65" t="str">
        <x:f>IF(A177="","",IF(D177&gt;=0,"여유","초과"))</x:f>
      </x:c>
    </x:row>
    <x:row r="178">
      <x:c r="A178" s="56"/>
      <x:c r="B178" s="64"/>
      <x:c r="C178" s="66" t="str">
        <x:f>IF(A178="","",SUMIF('09_예산상세'!$A$5:$A$204,A178,'09_예산상세'!$C$5:$C$204))</x:f>
      </x:c>
      <x:c r="D178" s="66" t="str">
        <x:f>IF(A178="","",B178-C178)</x:f>
      </x:c>
      <x:c r="E178" s="65" t="str">
        <x:f>IF(A178="","",IF(D178&gt;=0,"여유","초과"))</x:f>
      </x:c>
    </x:row>
    <x:row r="179">
      <x:c r="A179" s="56"/>
      <x:c r="B179" s="64"/>
      <x:c r="C179" s="66" t="str">
        <x:f>IF(A179="","",SUMIF('09_예산상세'!$A$5:$A$204,A179,'09_예산상세'!$C$5:$C$204))</x:f>
      </x:c>
      <x:c r="D179" s="66" t="str">
        <x:f>IF(A179="","",B179-C179)</x:f>
      </x:c>
      <x:c r="E179" s="65" t="str">
        <x:f>IF(A179="","",IF(D179&gt;=0,"여유","초과"))</x:f>
      </x:c>
    </x:row>
    <x:row r="180">
      <x:c r="A180" s="56"/>
      <x:c r="B180" s="64"/>
      <x:c r="C180" s="66" t="str">
        <x:f>IF(A180="","",SUMIF('09_예산상세'!$A$5:$A$204,A180,'09_예산상세'!$C$5:$C$204))</x:f>
      </x:c>
      <x:c r="D180" s="66" t="str">
        <x:f>IF(A180="","",B180-C180)</x:f>
      </x:c>
      <x:c r="E180" s="65" t="str">
        <x:f>IF(A180="","",IF(D180&gt;=0,"여유","초과"))</x:f>
      </x:c>
    </x:row>
    <x:row r="181">
      <x:c r="A181" s="56"/>
      <x:c r="B181" s="64"/>
      <x:c r="C181" s="66" t="str">
        <x:f>IF(A181="","",SUMIF('09_예산상세'!$A$5:$A$204,A181,'09_예산상세'!$C$5:$C$204))</x:f>
      </x:c>
      <x:c r="D181" s="66" t="str">
        <x:f>IF(A181="","",B181-C181)</x:f>
      </x:c>
      <x:c r="E181" s="65" t="str">
        <x:f>IF(A181="","",IF(D181&gt;=0,"여유","초과"))</x:f>
      </x:c>
    </x:row>
    <x:row r="182">
      <x:c r="A182" s="56"/>
      <x:c r="B182" s="64"/>
      <x:c r="C182" s="66" t="str">
        <x:f>IF(A182="","",SUMIF('09_예산상세'!$A$5:$A$204,A182,'09_예산상세'!$C$5:$C$204))</x:f>
      </x:c>
      <x:c r="D182" s="66" t="str">
        <x:f>IF(A182="","",B182-C182)</x:f>
      </x:c>
      <x:c r="E182" s="65" t="str">
        <x:f>IF(A182="","",IF(D182&gt;=0,"여유","초과"))</x:f>
      </x:c>
    </x:row>
    <x:row r="183">
      <x:c r="A183" s="56"/>
      <x:c r="B183" s="64"/>
      <x:c r="C183" s="66" t="str">
        <x:f>IF(A183="","",SUMIF('09_예산상세'!$A$5:$A$204,A183,'09_예산상세'!$C$5:$C$204))</x:f>
      </x:c>
      <x:c r="D183" s="66" t="str">
        <x:f>IF(A183="","",B183-C183)</x:f>
      </x:c>
      <x:c r="E183" s="65" t="str">
        <x:f>IF(A183="","",IF(D183&gt;=0,"여유","초과"))</x:f>
      </x:c>
    </x:row>
    <x:row r="184">
      <x:c r="A184" s="56"/>
      <x:c r="B184" s="64"/>
      <x:c r="C184" s="66" t="str">
        <x:f>IF(A184="","",SUMIF('09_예산상세'!$A$5:$A$204,A184,'09_예산상세'!$C$5:$C$204))</x:f>
      </x:c>
      <x:c r="D184" s="66" t="str">
        <x:f>IF(A184="","",B184-C184)</x:f>
      </x:c>
      <x:c r="E184" s="65" t="str">
        <x:f>IF(A184="","",IF(D184&gt;=0,"여유","초과"))</x:f>
      </x:c>
    </x:row>
    <x:row r="185">
      <x:c r="A185" s="56"/>
      <x:c r="B185" s="64"/>
      <x:c r="C185" s="66" t="str">
        <x:f>IF(A185="","",SUMIF('09_예산상세'!$A$5:$A$204,A185,'09_예산상세'!$C$5:$C$204))</x:f>
      </x:c>
      <x:c r="D185" s="66" t="str">
        <x:f>IF(A185="","",B185-C185)</x:f>
      </x:c>
      <x:c r="E185" s="65" t="str">
        <x:f>IF(A185="","",IF(D185&gt;=0,"여유","초과"))</x:f>
      </x:c>
    </x:row>
    <x:row r="186">
      <x:c r="A186" s="56"/>
      <x:c r="B186" s="64"/>
      <x:c r="C186" s="66" t="str">
        <x:f>IF(A186="","",SUMIF('09_예산상세'!$A$5:$A$204,A186,'09_예산상세'!$C$5:$C$204))</x:f>
      </x:c>
      <x:c r="D186" s="66" t="str">
        <x:f>IF(A186="","",B186-C186)</x:f>
      </x:c>
      <x:c r="E186" s="65" t="str">
        <x:f>IF(A186="","",IF(D186&gt;=0,"여유","초과"))</x:f>
      </x:c>
    </x:row>
    <x:row r="187">
      <x:c r="A187" s="56"/>
      <x:c r="B187" s="64"/>
      <x:c r="C187" s="66" t="str">
        <x:f>IF(A187="","",SUMIF('09_예산상세'!$A$5:$A$204,A187,'09_예산상세'!$C$5:$C$204))</x:f>
      </x:c>
      <x:c r="D187" s="66" t="str">
        <x:f>IF(A187="","",B187-C187)</x:f>
      </x:c>
      <x:c r="E187" s="65" t="str">
        <x:f>IF(A187="","",IF(D187&gt;=0,"여유","초과"))</x:f>
      </x:c>
    </x:row>
    <x:row r="188">
      <x:c r="A188" s="56"/>
      <x:c r="B188" s="64"/>
      <x:c r="C188" s="66" t="str">
        <x:f>IF(A188="","",SUMIF('09_예산상세'!$A$5:$A$204,A188,'09_예산상세'!$C$5:$C$204))</x:f>
      </x:c>
      <x:c r="D188" s="66" t="str">
        <x:f>IF(A188="","",B188-C188)</x:f>
      </x:c>
      <x:c r="E188" s="65" t="str">
        <x:f>IF(A188="","",IF(D188&gt;=0,"여유","초과"))</x:f>
      </x:c>
    </x:row>
    <x:row r="189">
      <x:c r="A189" s="56"/>
      <x:c r="B189" s="64"/>
      <x:c r="C189" s="66" t="str">
        <x:f>IF(A189="","",SUMIF('09_예산상세'!$A$5:$A$204,A189,'09_예산상세'!$C$5:$C$204))</x:f>
      </x:c>
      <x:c r="D189" s="66" t="str">
        <x:f>IF(A189="","",B189-C189)</x:f>
      </x:c>
      <x:c r="E189" s="65" t="str">
        <x:f>IF(A189="","",IF(D189&gt;=0,"여유","초과"))</x:f>
      </x:c>
    </x:row>
    <x:row r="190">
      <x:c r="A190" s="56"/>
      <x:c r="B190" s="64"/>
      <x:c r="C190" s="66" t="str">
        <x:f>IF(A190="","",SUMIF('09_예산상세'!$A$5:$A$204,A190,'09_예산상세'!$C$5:$C$204))</x:f>
      </x:c>
      <x:c r="D190" s="66" t="str">
        <x:f>IF(A190="","",B190-C190)</x:f>
      </x:c>
      <x:c r="E190" s="65" t="str">
        <x:f>IF(A190="","",IF(D190&gt;=0,"여유","초과"))</x:f>
      </x:c>
    </x:row>
    <x:row r="191">
      <x:c r="A191" s="56"/>
      <x:c r="B191" s="64"/>
      <x:c r="C191" s="66" t="str">
        <x:f>IF(A191="","",SUMIF('09_예산상세'!$A$5:$A$204,A191,'09_예산상세'!$C$5:$C$204))</x:f>
      </x:c>
      <x:c r="D191" s="66" t="str">
        <x:f>IF(A191="","",B191-C191)</x:f>
      </x:c>
      <x:c r="E191" s="65" t="str">
        <x:f>IF(A191="","",IF(D191&gt;=0,"여유","초과"))</x:f>
      </x:c>
    </x:row>
    <x:row r="192">
      <x:c r="A192" s="56"/>
      <x:c r="B192" s="64"/>
      <x:c r="C192" s="66" t="str">
        <x:f>IF(A192="","",SUMIF('09_예산상세'!$A$5:$A$204,A192,'09_예산상세'!$C$5:$C$204))</x:f>
      </x:c>
      <x:c r="D192" s="66" t="str">
        <x:f>IF(A192="","",B192-C192)</x:f>
      </x:c>
      <x:c r="E192" s="65" t="str">
        <x:f>IF(A192="","",IF(D192&gt;=0,"여유","초과"))</x:f>
      </x:c>
    </x:row>
    <x:row r="193">
      <x:c r="A193" s="56"/>
      <x:c r="B193" s="64"/>
      <x:c r="C193" s="66" t="str">
        <x:f>IF(A193="","",SUMIF('09_예산상세'!$A$5:$A$204,A193,'09_예산상세'!$C$5:$C$204))</x:f>
      </x:c>
      <x:c r="D193" s="66" t="str">
        <x:f>IF(A193="","",B193-C193)</x:f>
      </x:c>
      <x:c r="E193" s="65" t="str">
        <x:f>IF(A193="","",IF(D193&gt;=0,"여유","초과"))</x:f>
      </x:c>
    </x:row>
    <x:row r="194">
      <x:c r="A194" s="56"/>
      <x:c r="B194" s="64"/>
      <x:c r="C194" s="66" t="str">
        <x:f>IF(A194="","",SUMIF('09_예산상세'!$A$5:$A$204,A194,'09_예산상세'!$C$5:$C$204))</x:f>
      </x:c>
      <x:c r="D194" s="66" t="str">
        <x:f>IF(A194="","",B194-C194)</x:f>
      </x:c>
      <x:c r="E194" s="65" t="str">
        <x:f>IF(A194="","",IF(D194&gt;=0,"여유","초과"))</x:f>
      </x:c>
    </x:row>
    <x:row r="195">
      <x:c r="A195" s="56"/>
      <x:c r="B195" s="64"/>
      <x:c r="C195" s="66" t="str">
        <x:f>IF(A195="","",SUMIF('09_예산상세'!$A$5:$A$204,A195,'09_예산상세'!$C$5:$C$204))</x:f>
      </x:c>
      <x:c r="D195" s="66" t="str">
        <x:f>IF(A195="","",B195-C195)</x:f>
      </x:c>
      <x:c r="E195" s="65" t="str">
        <x:f>IF(A195="","",IF(D195&gt;=0,"여유","초과"))</x:f>
      </x:c>
    </x:row>
    <x:row r="196">
      <x:c r="A196" s="56"/>
      <x:c r="B196" s="64"/>
      <x:c r="C196" s="66" t="str">
        <x:f>IF(A196="","",SUMIF('09_예산상세'!$A$5:$A$204,A196,'09_예산상세'!$C$5:$C$204))</x:f>
      </x:c>
      <x:c r="D196" s="66" t="str">
        <x:f>IF(A196="","",B196-C196)</x:f>
      </x:c>
      <x:c r="E196" s="65" t="str">
        <x:f>IF(A196="","",IF(D196&gt;=0,"여유","초과"))</x:f>
      </x:c>
    </x:row>
    <x:row r="197">
      <x:c r="A197" s="56"/>
      <x:c r="B197" s="64"/>
      <x:c r="C197" s="66" t="str">
        <x:f>IF(A197="","",SUMIF('09_예산상세'!$A$5:$A$204,A197,'09_예산상세'!$C$5:$C$204))</x:f>
      </x:c>
      <x:c r="D197" s="66" t="str">
        <x:f>IF(A197="","",B197-C197)</x:f>
      </x:c>
      <x:c r="E197" s="65" t="str">
        <x:f>IF(A197="","",IF(D197&gt;=0,"여유","초과"))</x:f>
      </x:c>
    </x:row>
    <x:row r="198">
      <x:c r="A198" s="56"/>
      <x:c r="B198" s="64"/>
      <x:c r="C198" s="66" t="str">
        <x:f>IF(A198="","",SUMIF('09_예산상세'!$A$5:$A$204,A198,'09_예산상세'!$C$5:$C$204))</x:f>
      </x:c>
      <x:c r="D198" s="66" t="str">
        <x:f>IF(A198="","",B198-C198)</x:f>
      </x:c>
      <x:c r="E198" s="65" t="str">
        <x:f>IF(A198="","",IF(D198&gt;=0,"여유","초과"))</x:f>
      </x:c>
    </x:row>
    <x:row r="199">
      <x:c r="A199" s="56"/>
      <x:c r="B199" s="64"/>
      <x:c r="C199" s="66" t="str">
        <x:f>IF(A199="","",SUMIF('09_예산상세'!$A$5:$A$204,A199,'09_예산상세'!$C$5:$C$204))</x:f>
      </x:c>
      <x:c r="D199" s="66" t="str">
        <x:f>IF(A199="","",B199-C199)</x:f>
      </x:c>
      <x:c r="E199" s="65" t="str">
        <x:f>IF(A199="","",IF(D199&gt;=0,"여유","초과"))</x:f>
      </x:c>
    </x:row>
    <x:row r="200">
      <x:c r="A200" s="56"/>
      <x:c r="B200" s="64"/>
      <x:c r="C200" s="66" t="str">
        <x:f>IF(A200="","",SUMIF('09_예산상세'!$A$5:$A$204,A200,'09_예산상세'!$C$5:$C$204))</x:f>
      </x:c>
      <x:c r="D200" s="66" t="str">
        <x:f>IF(A200="","",B200-C200)</x:f>
      </x:c>
      <x:c r="E200" s="65" t="str">
        <x:f>IF(A200="","",IF(D200&gt;=0,"여유","초과"))</x:f>
      </x:c>
    </x:row>
    <x:row r="201">
      <x:c r="A201" s="56"/>
      <x:c r="B201" s="64"/>
      <x:c r="C201" s="66" t="str">
        <x:f>IF(A201="","",SUMIF('09_예산상세'!$A$5:$A$204,A201,'09_예산상세'!$C$5:$C$204))</x:f>
      </x:c>
      <x:c r="D201" s="66" t="str">
        <x:f>IF(A201="","",B201-C201)</x:f>
      </x:c>
      <x:c r="E201" s="65" t="str">
        <x:f>IF(A201="","",IF(D201&gt;=0,"여유","초과"))</x:f>
      </x:c>
    </x:row>
    <x:row r="202">
      <x:c r="A202" s="56"/>
      <x:c r="B202" s="64"/>
      <x:c r="C202" s="66" t="str">
        <x:f>IF(A202="","",SUMIF('09_예산상세'!$A$5:$A$204,A202,'09_예산상세'!$C$5:$C$204))</x:f>
      </x:c>
      <x:c r="D202" s="66" t="str">
        <x:f>IF(A202="","",B202-C202)</x:f>
      </x:c>
      <x:c r="E202" s="65" t="str">
        <x:f>IF(A202="","",IF(D202&gt;=0,"여유","초과"))</x:f>
      </x:c>
    </x:row>
    <x:row r="203">
      <x:c r="A203" s="56"/>
      <x:c r="B203" s="64"/>
      <x:c r="C203" s="66" t="str">
        <x:f>IF(A203="","",SUMIF('09_예산상세'!$A$5:$A$204,A203,'09_예산상세'!$C$5:$C$204))</x:f>
      </x:c>
      <x:c r="D203" s="66" t="str">
        <x:f>IF(A203="","",B203-C203)</x:f>
      </x:c>
      <x:c r="E203" s="65" t="str">
        <x:f>IF(A203="","",IF(D203&gt;=0,"여유","초과"))</x:f>
      </x:c>
    </x:row>
    <x:row r="204">
      <x:c r="A204" s="56"/>
      <x:c r="B204" s="64"/>
      <x:c r="C204" s="66" t="str">
        <x:f>IF(A204="","",SUMIF('09_예산상세'!$A$5:$A$204,A204,'09_예산상세'!$C$5:$C$204))</x:f>
      </x:c>
      <x:c r="D204" s="66" t="str">
        <x:f>IF(A204="","",B204-C204)</x:f>
      </x:c>
      <x:c r="E204" s="65" t="str">
        <x:f>IF(A204="","",IF(D204&gt;=0,"여유","초과"))</x:f>
      </x:c>
    </x:row>
  </x:sheetData>
  <x:conditionalFormatting sqref="E5:E204">
    <x:cfRule type="containsText" dxfId="1" priority="1" operator="containsText" text="초과"/>
    <x:cfRule type="containsText" dxfId="2" priority="2" operator="containsText" text="여유"/>
  </x:conditionalFormatting>
  <x:dataValidations count="1">
    <x:dataValidation type="list" allowBlank="1" showDropDown="0" sqref="E5:E204">
      <x:formula1>"여유,초과"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109999656677246" hidden="0" customWidth="1"/>
    <x:col min="2" max="2" width="11.65999984741211" hidden="0" customWidth="1"/>
    <x:col min="3" max="3" width="23.93000030517578" hidden="0" customWidth="1"/>
    <x:col min="4" max="4" width="17.790000915527344" hidden="0" customWidth="1"/>
    <x:col min="5" max="5" width="31.290000915527344" hidden="0" customWidth="1"/>
  </x:cols>
  <x:sheetData>
    <x:row r="1">
      <x:c r="A1" s="49" t="str">
        <x:v>나의 예산</x:v>
      </x:c>
      <x:c r="B1" s="50"/>
      <x:c r="C1" s="50"/>
      <x:c r="D1" s="50"/>
      <x:c r="E1" s="50"/>
    </x:row>
    <x:row r="2">
      <x:c r="A2" s="49" t="str">
        <x:v>가용/비가용 예산 정보를 입력합니다.</x:v>
      </x:c>
      <x:c r="B2" s="50"/>
      <x:c r="C2" s="50"/>
      <x:c r="D2" s="50"/>
      <x:c r="E2" s="50"/>
    </x:row>
    <x:row r="3">
      <x:c r="A3" s="50"/>
      <x:c r="B3" s="50"/>
      <x:c r="C3" s="50"/>
      <x:c r="D3" s="50"/>
      <x:c r="E3" s="50"/>
    </x:row>
    <x:row r="4">
      <x:c r="A4" s="55" t="str">
        <x:v>소유자</x:v>
      </x:c>
      <x:c r="B4" s="55" t="str">
        <x:v>구분</x:v>
      </x:c>
      <x:c r="C4" s="55" t="str">
        <x:v>자산명</x:v>
      </x:c>
      <x:c r="D4" s="55" t="str">
        <x:v>금액</x:v>
      </x:c>
      <x:c r="E4" s="55" t="str">
        <x:v>비고</x:v>
      </x:c>
    </x:row>
    <x:row r="5">
      <x:c r="A5" s="56"/>
      <x:c r="B5" s="56"/>
      <x:c r="C5" s="56"/>
      <x:c r="D5" s="64"/>
      <x:c r="E5" s="56"/>
    </x:row>
    <x:row r="6">
      <x:c r="A6" s="56"/>
      <x:c r="B6" s="56"/>
      <x:c r="C6" s="56"/>
      <x:c r="D6" s="64"/>
      <x:c r="E6" s="56"/>
    </x:row>
    <x:row r="7">
      <x:c r="A7" s="56"/>
      <x:c r="B7" s="56"/>
      <x:c r="C7" s="56"/>
      <x:c r="D7" s="64"/>
      <x:c r="E7" s="56"/>
    </x:row>
    <x:row r="8">
      <x:c r="A8" s="56"/>
      <x:c r="B8" s="56"/>
      <x:c r="C8" s="56"/>
      <x:c r="D8" s="64"/>
      <x:c r="E8" s="56"/>
    </x:row>
    <x:row r="9">
      <x:c r="A9" s="56"/>
      <x:c r="B9" s="56"/>
      <x:c r="C9" s="56"/>
      <x:c r="D9" s="64"/>
      <x:c r="E9" s="56"/>
    </x:row>
    <x:row r="10">
      <x:c r="A10" s="56"/>
      <x:c r="B10" s="56"/>
      <x:c r="C10" s="56"/>
      <x:c r="D10" s="64"/>
      <x:c r="E10" s="56"/>
    </x:row>
    <x:row r="11">
      <x:c r="A11" s="56"/>
      <x:c r="B11" s="56"/>
      <x:c r="C11" s="56"/>
      <x:c r="D11" s="64"/>
      <x:c r="E11" s="56"/>
    </x:row>
    <x:row r="12">
      <x:c r="A12" s="56"/>
      <x:c r="B12" s="56"/>
      <x:c r="C12" s="56"/>
      <x:c r="D12" s="64"/>
      <x:c r="E12" s="56"/>
    </x:row>
    <x:row r="13">
      <x:c r="A13" s="56"/>
      <x:c r="B13" s="56"/>
      <x:c r="C13" s="56"/>
      <x:c r="D13" s="64"/>
      <x:c r="E13" s="56"/>
    </x:row>
    <x:row r="14">
      <x:c r="A14" s="56"/>
      <x:c r="B14" s="56"/>
      <x:c r="C14" s="56"/>
      <x:c r="D14" s="64"/>
      <x:c r="E14" s="56"/>
    </x:row>
    <x:row r="15">
      <x:c r="A15" s="56"/>
      <x:c r="B15" s="56"/>
      <x:c r="C15" s="56"/>
      <x:c r="D15" s="64"/>
      <x:c r="E15" s="56"/>
    </x:row>
    <x:row r="16">
      <x:c r="A16" s="56"/>
      <x:c r="B16" s="56"/>
      <x:c r="C16" s="56"/>
      <x:c r="D16" s="64"/>
      <x:c r="E16" s="56"/>
    </x:row>
    <x:row r="17">
      <x:c r="A17" s="56"/>
      <x:c r="B17" s="56"/>
      <x:c r="C17" s="56"/>
      <x:c r="D17" s="64"/>
      <x:c r="E17" s="56"/>
    </x:row>
    <x:row r="18">
      <x:c r="A18" s="56"/>
      <x:c r="B18" s="56"/>
      <x:c r="C18" s="56"/>
      <x:c r="D18" s="64"/>
      <x:c r="E18" s="56"/>
    </x:row>
    <x:row r="19">
      <x:c r="A19" s="56"/>
      <x:c r="B19" s="56"/>
      <x:c r="C19" s="56"/>
      <x:c r="D19" s="64"/>
      <x:c r="E19" s="56"/>
    </x:row>
    <x:row r="20">
      <x:c r="A20" s="56"/>
      <x:c r="B20" s="56"/>
      <x:c r="C20" s="56"/>
      <x:c r="D20" s="64"/>
      <x:c r="E20" s="56"/>
    </x:row>
    <x:row r="21">
      <x:c r="A21" s="56"/>
      <x:c r="B21" s="56"/>
      <x:c r="C21" s="56"/>
      <x:c r="D21" s="64"/>
      <x:c r="E21" s="56"/>
    </x:row>
    <x:row r="22">
      <x:c r="A22" s="56"/>
      <x:c r="B22" s="56"/>
      <x:c r="C22" s="56"/>
      <x:c r="D22" s="64"/>
      <x:c r="E22" s="56"/>
    </x:row>
    <x:row r="23">
      <x:c r="A23" s="56"/>
      <x:c r="B23" s="56"/>
      <x:c r="C23" s="56"/>
      <x:c r="D23" s="64"/>
      <x:c r="E23" s="56"/>
    </x:row>
    <x:row r="24">
      <x:c r="A24" s="56"/>
      <x:c r="B24" s="56"/>
      <x:c r="C24" s="56"/>
      <x:c r="D24" s="64"/>
      <x:c r="E24" s="56"/>
    </x:row>
    <x:row r="25">
      <x:c r="A25" s="56"/>
      <x:c r="B25" s="56"/>
      <x:c r="C25" s="56"/>
      <x:c r="D25" s="64"/>
      <x:c r="E25" s="56"/>
    </x:row>
    <x:row r="26">
      <x:c r="A26" s="56"/>
      <x:c r="B26" s="56"/>
      <x:c r="C26" s="56"/>
      <x:c r="D26" s="64"/>
      <x:c r="E26" s="56"/>
    </x:row>
    <x:row r="27">
      <x:c r="A27" s="56"/>
      <x:c r="B27" s="56"/>
      <x:c r="C27" s="56"/>
      <x:c r="D27" s="64"/>
      <x:c r="E27" s="56"/>
    </x:row>
    <x:row r="28">
      <x:c r="A28" s="56"/>
      <x:c r="B28" s="56"/>
      <x:c r="C28" s="56"/>
      <x:c r="D28" s="64"/>
      <x:c r="E28" s="56"/>
    </x:row>
    <x:row r="29">
      <x:c r="A29" s="56"/>
      <x:c r="B29" s="56"/>
      <x:c r="C29" s="56"/>
      <x:c r="D29" s="64"/>
      <x:c r="E29" s="56"/>
    </x:row>
    <x:row r="30">
      <x:c r="A30" s="56"/>
      <x:c r="B30" s="56"/>
      <x:c r="C30" s="56"/>
      <x:c r="D30" s="64"/>
      <x:c r="E30" s="56"/>
    </x:row>
    <x:row r="31">
      <x:c r="A31" s="56"/>
      <x:c r="B31" s="56"/>
      <x:c r="C31" s="56"/>
      <x:c r="D31" s="64"/>
      <x:c r="E31" s="56"/>
    </x:row>
    <x:row r="32">
      <x:c r="A32" s="56"/>
      <x:c r="B32" s="56"/>
      <x:c r="C32" s="56"/>
      <x:c r="D32" s="64"/>
      <x:c r="E32" s="56"/>
    </x:row>
    <x:row r="33">
      <x:c r="A33" s="56"/>
      <x:c r="B33" s="56"/>
      <x:c r="C33" s="56"/>
      <x:c r="D33" s="64"/>
      <x:c r="E33" s="56"/>
    </x:row>
    <x:row r="34">
      <x:c r="A34" s="56"/>
      <x:c r="B34" s="56"/>
      <x:c r="C34" s="56"/>
      <x:c r="D34" s="64"/>
      <x:c r="E34" s="56"/>
    </x:row>
    <x:row r="35">
      <x:c r="A35" s="56"/>
      <x:c r="B35" s="56"/>
      <x:c r="C35" s="56"/>
      <x:c r="D35" s="64"/>
      <x:c r="E35" s="56"/>
    </x:row>
    <x:row r="36">
      <x:c r="A36" s="56"/>
      <x:c r="B36" s="56"/>
      <x:c r="C36" s="56"/>
      <x:c r="D36" s="64"/>
      <x:c r="E36" s="56"/>
    </x:row>
    <x:row r="37">
      <x:c r="A37" s="56"/>
      <x:c r="B37" s="56"/>
      <x:c r="C37" s="56"/>
      <x:c r="D37" s="64"/>
      <x:c r="E37" s="56"/>
    </x:row>
    <x:row r="38">
      <x:c r="A38" s="56"/>
      <x:c r="B38" s="56"/>
      <x:c r="C38" s="56"/>
      <x:c r="D38" s="64"/>
      <x:c r="E38" s="56"/>
    </x:row>
    <x:row r="39">
      <x:c r="A39" s="56"/>
      <x:c r="B39" s="56"/>
      <x:c r="C39" s="56"/>
      <x:c r="D39" s="64"/>
      <x:c r="E39" s="56"/>
    </x:row>
    <x:row r="40">
      <x:c r="A40" s="56"/>
      <x:c r="B40" s="56"/>
      <x:c r="C40" s="56"/>
      <x:c r="D40" s="64"/>
      <x:c r="E40" s="56"/>
    </x:row>
    <x:row r="41">
      <x:c r="A41" s="56"/>
      <x:c r="B41" s="56"/>
      <x:c r="C41" s="56"/>
      <x:c r="D41" s="64"/>
      <x:c r="E41" s="56"/>
    </x:row>
    <x:row r="42">
      <x:c r="A42" s="56"/>
      <x:c r="B42" s="56"/>
      <x:c r="C42" s="56"/>
      <x:c r="D42" s="64"/>
      <x:c r="E42" s="56"/>
    </x:row>
    <x:row r="43">
      <x:c r="A43" s="56"/>
      <x:c r="B43" s="56"/>
      <x:c r="C43" s="56"/>
      <x:c r="D43" s="64"/>
      <x:c r="E43" s="56"/>
    </x:row>
    <x:row r="44">
      <x:c r="A44" s="56"/>
      <x:c r="B44" s="56"/>
      <x:c r="C44" s="56"/>
      <x:c r="D44" s="64"/>
      <x:c r="E44" s="56"/>
    </x:row>
    <x:row r="45">
      <x:c r="A45" s="56"/>
      <x:c r="B45" s="56"/>
      <x:c r="C45" s="56"/>
      <x:c r="D45" s="64"/>
      <x:c r="E45" s="56"/>
    </x:row>
    <x:row r="46">
      <x:c r="A46" s="56"/>
      <x:c r="B46" s="56"/>
      <x:c r="C46" s="56"/>
      <x:c r="D46" s="64"/>
      <x:c r="E46" s="56"/>
    </x:row>
    <x:row r="47">
      <x:c r="A47" s="56"/>
      <x:c r="B47" s="56"/>
      <x:c r="C47" s="56"/>
      <x:c r="D47" s="64"/>
      <x:c r="E47" s="56"/>
    </x:row>
    <x:row r="48">
      <x:c r="A48" s="56"/>
      <x:c r="B48" s="56"/>
      <x:c r="C48" s="56"/>
      <x:c r="D48" s="64"/>
      <x:c r="E48" s="56"/>
    </x:row>
    <x:row r="49">
      <x:c r="A49" s="56"/>
      <x:c r="B49" s="56"/>
      <x:c r="C49" s="56"/>
      <x:c r="D49" s="64"/>
      <x:c r="E49" s="56"/>
    </x:row>
    <x:row r="50">
      <x:c r="A50" s="56"/>
      <x:c r="B50" s="56"/>
      <x:c r="C50" s="56"/>
      <x:c r="D50" s="64"/>
      <x:c r="E50" s="56"/>
    </x:row>
    <x:row r="51">
      <x:c r="A51" s="56"/>
      <x:c r="B51" s="56"/>
      <x:c r="C51" s="56"/>
      <x:c r="D51" s="64"/>
      <x:c r="E51" s="56"/>
    </x:row>
    <x:row r="52">
      <x:c r="A52" s="56"/>
      <x:c r="B52" s="56"/>
      <x:c r="C52" s="56"/>
      <x:c r="D52" s="64"/>
      <x:c r="E52" s="56"/>
    </x:row>
    <x:row r="53">
      <x:c r="A53" s="56"/>
      <x:c r="B53" s="56"/>
      <x:c r="C53" s="56"/>
      <x:c r="D53" s="64"/>
      <x:c r="E53" s="56"/>
    </x:row>
    <x:row r="54">
      <x:c r="A54" s="56"/>
      <x:c r="B54" s="56"/>
      <x:c r="C54" s="56"/>
      <x:c r="D54" s="64"/>
      <x:c r="E54" s="56"/>
    </x:row>
    <x:row r="55">
      <x:c r="A55" s="56"/>
      <x:c r="B55" s="56"/>
      <x:c r="C55" s="56"/>
      <x:c r="D55" s="64"/>
      <x:c r="E55" s="56"/>
    </x:row>
    <x:row r="56">
      <x:c r="A56" s="56"/>
      <x:c r="B56" s="56"/>
      <x:c r="C56" s="56"/>
      <x:c r="D56" s="64"/>
      <x:c r="E56" s="56"/>
    </x:row>
    <x:row r="57">
      <x:c r="A57" s="56"/>
      <x:c r="B57" s="56"/>
      <x:c r="C57" s="56"/>
      <x:c r="D57" s="64"/>
      <x:c r="E57" s="56"/>
    </x:row>
    <x:row r="58">
      <x:c r="A58" s="56"/>
      <x:c r="B58" s="56"/>
      <x:c r="C58" s="56"/>
      <x:c r="D58" s="64"/>
      <x:c r="E58" s="56"/>
    </x:row>
    <x:row r="59">
      <x:c r="A59" s="56"/>
      <x:c r="B59" s="56"/>
      <x:c r="C59" s="56"/>
      <x:c r="D59" s="64"/>
      <x:c r="E59" s="56"/>
    </x:row>
    <x:row r="60">
      <x:c r="A60" s="56"/>
      <x:c r="B60" s="56"/>
      <x:c r="C60" s="56"/>
      <x:c r="D60" s="64"/>
      <x:c r="E60" s="56"/>
    </x:row>
    <x:row r="61">
      <x:c r="A61" s="56"/>
      <x:c r="B61" s="56"/>
      <x:c r="C61" s="56"/>
      <x:c r="D61" s="64"/>
      <x:c r="E61" s="56"/>
    </x:row>
    <x:row r="62">
      <x:c r="A62" s="56"/>
      <x:c r="B62" s="56"/>
      <x:c r="C62" s="56"/>
      <x:c r="D62" s="64"/>
      <x:c r="E62" s="56"/>
    </x:row>
    <x:row r="63">
      <x:c r="A63" s="56"/>
      <x:c r="B63" s="56"/>
      <x:c r="C63" s="56"/>
      <x:c r="D63" s="64"/>
      <x:c r="E63" s="56"/>
    </x:row>
    <x:row r="64">
      <x:c r="A64" s="56"/>
      <x:c r="B64" s="56"/>
      <x:c r="C64" s="56"/>
      <x:c r="D64" s="64"/>
      <x:c r="E64" s="56"/>
    </x:row>
    <x:row r="65">
      <x:c r="A65" s="56"/>
      <x:c r="B65" s="56"/>
      <x:c r="C65" s="56"/>
      <x:c r="D65" s="64"/>
      <x:c r="E65" s="56"/>
    </x:row>
    <x:row r="66">
      <x:c r="A66" s="56"/>
      <x:c r="B66" s="56"/>
      <x:c r="C66" s="56"/>
      <x:c r="D66" s="64"/>
      <x:c r="E66" s="56"/>
    </x:row>
    <x:row r="67">
      <x:c r="A67" s="56"/>
      <x:c r="B67" s="56"/>
      <x:c r="C67" s="56"/>
      <x:c r="D67" s="64"/>
      <x:c r="E67" s="56"/>
    </x:row>
    <x:row r="68">
      <x:c r="A68" s="56"/>
      <x:c r="B68" s="56"/>
      <x:c r="C68" s="56"/>
      <x:c r="D68" s="64"/>
      <x:c r="E68" s="56"/>
    </x:row>
    <x:row r="69">
      <x:c r="A69" s="56"/>
      <x:c r="B69" s="56"/>
      <x:c r="C69" s="56"/>
      <x:c r="D69" s="64"/>
      <x:c r="E69" s="56"/>
    </x:row>
    <x:row r="70">
      <x:c r="A70" s="56"/>
      <x:c r="B70" s="56"/>
      <x:c r="C70" s="56"/>
      <x:c r="D70" s="64"/>
      <x:c r="E70" s="56"/>
    </x:row>
    <x:row r="71">
      <x:c r="A71" s="56"/>
      <x:c r="B71" s="56"/>
      <x:c r="C71" s="56"/>
      <x:c r="D71" s="64"/>
      <x:c r="E71" s="56"/>
    </x:row>
    <x:row r="72">
      <x:c r="A72" s="56"/>
      <x:c r="B72" s="56"/>
      <x:c r="C72" s="56"/>
      <x:c r="D72" s="64"/>
      <x:c r="E72" s="56"/>
    </x:row>
    <x:row r="73">
      <x:c r="A73" s="56"/>
      <x:c r="B73" s="56"/>
      <x:c r="C73" s="56"/>
      <x:c r="D73" s="64"/>
      <x:c r="E73" s="56"/>
    </x:row>
    <x:row r="74">
      <x:c r="A74" s="56"/>
      <x:c r="B74" s="56"/>
      <x:c r="C74" s="56"/>
      <x:c r="D74" s="64"/>
      <x:c r="E74" s="56"/>
    </x:row>
    <x:row r="75">
      <x:c r="A75" s="56"/>
      <x:c r="B75" s="56"/>
      <x:c r="C75" s="56"/>
      <x:c r="D75" s="64"/>
      <x:c r="E75" s="56"/>
    </x:row>
    <x:row r="76">
      <x:c r="A76" s="56"/>
      <x:c r="B76" s="56"/>
      <x:c r="C76" s="56"/>
      <x:c r="D76" s="64"/>
      <x:c r="E76" s="56"/>
    </x:row>
    <x:row r="77">
      <x:c r="A77" s="56"/>
      <x:c r="B77" s="56"/>
      <x:c r="C77" s="56"/>
      <x:c r="D77" s="64"/>
      <x:c r="E77" s="56"/>
    </x:row>
    <x:row r="78">
      <x:c r="A78" s="56"/>
      <x:c r="B78" s="56"/>
      <x:c r="C78" s="56"/>
      <x:c r="D78" s="64"/>
      <x:c r="E78" s="56"/>
    </x:row>
    <x:row r="79">
      <x:c r="A79" s="56"/>
      <x:c r="B79" s="56"/>
      <x:c r="C79" s="56"/>
      <x:c r="D79" s="64"/>
      <x:c r="E79" s="56"/>
    </x:row>
    <x:row r="80">
      <x:c r="A80" s="56"/>
      <x:c r="B80" s="56"/>
      <x:c r="C80" s="56"/>
      <x:c r="D80" s="64"/>
      <x:c r="E80" s="56"/>
    </x:row>
    <x:row r="81">
      <x:c r="A81" s="56"/>
      <x:c r="B81" s="56"/>
      <x:c r="C81" s="56"/>
      <x:c r="D81" s="64"/>
      <x:c r="E81" s="56"/>
    </x:row>
    <x:row r="82">
      <x:c r="A82" s="56"/>
      <x:c r="B82" s="56"/>
      <x:c r="C82" s="56"/>
      <x:c r="D82" s="64"/>
      <x:c r="E82" s="56"/>
    </x:row>
    <x:row r="83">
      <x:c r="A83" s="56"/>
      <x:c r="B83" s="56"/>
      <x:c r="C83" s="56"/>
      <x:c r="D83" s="64"/>
      <x:c r="E83" s="56"/>
    </x:row>
    <x:row r="84">
      <x:c r="A84" s="56"/>
      <x:c r="B84" s="56"/>
      <x:c r="C84" s="56"/>
      <x:c r="D84" s="64"/>
      <x:c r="E84" s="56"/>
    </x:row>
    <x:row r="85">
      <x:c r="A85" s="56"/>
      <x:c r="B85" s="56"/>
      <x:c r="C85" s="56"/>
      <x:c r="D85" s="64"/>
      <x:c r="E85" s="56"/>
    </x:row>
    <x:row r="86">
      <x:c r="A86" s="56"/>
      <x:c r="B86" s="56"/>
      <x:c r="C86" s="56"/>
      <x:c r="D86" s="64"/>
      <x:c r="E86" s="56"/>
    </x:row>
    <x:row r="87">
      <x:c r="A87" s="56"/>
      <x:c r="B87" s="56"/>
      <x:c r="C87" s="56"/>
      <x:c r="D87" s="64"/>
      <x:c r="E87" s="56"/>
    </x:row>
    <x:row r="88">
      <x:c r="A88" s="56"/>
      <x:c r="B88" s="56"/>
      <x:c r="C88" s="56"/>
      <x:c r="D88" s="64"/>
      <x:c r="E88" s="56"/>
    </x:row>
    <x:row r="89">
      <x:c r="A89" s="56"/>
      <x:c r="B89" s="56"/>
      <x:c r="C89" s="56"/>
      <x:c r="D89" s="64"/>
      <x:c r="E89" s="56"/>
    </x:row>
    <x:row r="90">
      <x:c r="A90" s="56"/>
      <x:c r="B90" s="56"/>
      <x:c r="C90" s="56"/>
      <x:c r="D90" s="64"/>
      <x:c r="E90" s="56"/>
    </x:row>
    <x:row r="91">
      <x:c r="A91" s="56"/>
      <x:c r="B91" s="56"/>
      <x:c r="C91" s="56"/>
      <x:c r="D91" s="64"/>
      <x:c r="E91" s="56"/>
    </x:row>
    <x:row r="92">
      <x:c r="A92" s="56"/>
      <x:c r="B92" s="56"/>
      <x:c r="C92" s="56"/>
      <x:c r="D92" s="64"/>
      <x:c r="E92" s="56"/>
    </x:row>
    <x:row r="93">
      <x:c r="A93" s="56"/>
      <x:c r="B93" s="56"/>
      <x:c r="C93" s="56"/>
      <x:c r="D93" s="64"/>
      <x:c r="E93" s="56"/>
    </x:row>
    <x:row r="94">
      <x:c r="A94" s="56"/>
      <x:c r="B94" s="56"/>
      <x:c r="C94" s="56"/>
      <x:c r="D94" s="64"/>
      <x:c r="E94" s="56"/>
    </x:row>
    <x:row r="95">
      <x:c r="A95" s="56"/>
      <x:c r="B95" s="56"/>
      <x:c r="C95" s="56"/>
      <x:c r="D95" s="64"/>
      <x:c r="E95" s="56"/>
    </x:row>
    <x:row r="96">
      <x:c r="A96" s="56"/>
      <x:c r="B96" s="56"/>
      <x:c r="C96" s="56"/>
      <x:c r="D96" s="64"/>
      <x:c r="E96" s="56"/>
    </x:row>
    <x:row r="97">
      <x:c r="A97" s="56"/>
      <x:c r="B97" s="56"/>
      <x:c r="C97" s="56"/>
      <x:c r="D97" s="64"/>
      <x:c r="E97" s="56"/>
    </x:row>
    <x:row r="98">
      <x:c r="A98" s="56"/>
      <x:c r="B98" s="56"/>
      <x:c r="C98" s="56"/>
      <x:c r="D98" s="64"/>
      <x:c r="E98" s="56"/>
    </x:row>
    <x:row r="99">
      <x:c r="A99" s="56"/>
      <x:c r="B99" s="56"/>
      <x:c r="C99" s="56"/>
      <x:c r="D99" s="64"/>
      <x:c r="E99" s="56"/>
    </x:row>
    <x:row r="100">
      <x:c r="A100" s="56"/>
      <x:c r="B100" s="56"/>
      <x:c r="C100" s="56"/>
      <x:c r="D100" s="64"/>
      <x:c r="E100" s="56"/>
    </x:row>
    <x:row r="101">
      <x:c r="A101" s="56"/>
      <x:c r="B101" s="56"/>
      <x:c r="C101" s="56"/>
      <x:c r="D101" s="64"/>
      <x:c r="E101" s="56"/>
    </x:row>
    <x:row r="102">
      <x:c r="A102" s="56"/>
      <x:c r="B102" s="56"/>
      <x:c r="C102" s="56"/>
      <x:c r="D102" s="64"/>
      <x:c r="E102" s="56"/>
    </x:row>
    <x:row r="103">
      <x:c r="A103" s="56"/>
      <x:c r="B103" s="56"/>
      <x:c r="C103" s="56"/>
      <x:c r="D103" s="64"/>
      <x:c r="E103" s="56"/>
    </x:row>
    <x:row r="104">
      <x:c r="A104" s="56"/>
      <x:c r="B104" s="56"/>
      <x:c r="C104" s="56"/>
      <x:c r="D104" s="64"/>
      <x:c r="E104" s="56"/>
    </x:row>
    <x:row r="105">
      <x:c r="A105" s="56"/>
      <x:c r="B105" s="56"/>
      <x:c r="C105" s="56"/>
      <x:c r="D105" s="64"/>
      <x:c r="E105" s="56"/>
    </x:row>
    <x:row r="106">
      <x:c r="A106" s="56"/>
      <x:c r="B106" s="56"/>
      <x:c r="C106" s="56"/>
      <x:c r="D106" s="64"/>
      <x:c r="E106" s="56"/>
    </x:row>
    <x:row r="107">
      <x:c r="A107" s="56"/>
      <x:c r="B107" s="56"/>
      <x:c r="C107" s="56"/>
      <x:c r="D107" s="64"/>
      <x:c r="E107" s="56"/>
    </x:row>
    <x:row r="108">
      <x:c r="A108" s="56"/>
      <x:c r="B108" s="56"/>
      <x:c r="C108" s="56"/>
      <x:c r="D108" s="64"/>
      <x:c r="E108" s="56"/>
    </x:row>
    <x:row r="109">
      <x:c r="A109" s="56"/>
      <x:c r="B109" s="56"/>
      <x:c r="C109" s="56"/>
      <x:c r="D109" s="64"/>
      <x:c r="E109" s="56"/>
    </x:row>
    <x:row r="110">
      <x:c r="A110" s="56"/>
      <x:c r="B110" s="56"/>
      <x:c r="C110" s="56"/>
      <x:c r="D110" s="64"/>
      <x:c r="E110" s="56"/>
    </x:row>
    <x:row r="111">
      <x:c r="A111" s="56"/>
      <x:c r="B111" s="56"/>
      <x:c r="C111" s="56"/>
      <x:c r="D111" s="64"/>
      <x:c r="E111" s="56"/>
    </x:row>
    <x:row r="112">
      <x:c r="A112" s="56"/>
      <x:c r="B112" s="56"/>
      <x:c r="C112" s="56"/>
      <x:c r="D112" s="64"/>
      <x:c r="E112" s="56"/>
    </x:row>
    <x:row r="113">
      <x:c r="A113" s="56"/>
      <x:c r="B113" s="56"/>
      <x:c r="C113" s="56"/>
      <x:c r="D113" s="64"/>
      <x:c r="E113" s="56"/>
    </x:row>
    <x:row r="114">
      <x:c r="A114" s="56"/>
      <x:c r="B114" s="56"/>
      <x:c r="C114" s="56"/>
      <x:c r="D114" s="64"/>
      <x:c r="E114" s="56"/>
    </x:row>
    <x:row r="115">
      <x:c r="A115" s="56"/>
      <x:c r="B115" s="56"/>
      <x:c r="C115" s="56"/>
      <x:c r="D115" s="64"/>
      <x:c r="E115" s="56"/>
    </x:row>
    <x:row r="116">
      <x:c r="A116" s="56"/>
      <x:c r="B116" s="56"/>
      <x:c r="C116" s="56"/>
      <x:c r="D116" s="64"/>
      <x:c r="E116" s="56"/>
    </x:row>
    <x:row r="117">
      <x:c r="A117" s="56"/>
      <x:c r="B117" s="56"/>
      <x:c r="C117" s="56"/>
      <x:c r="D117" s="64"/>
      <x:c r="E117" s="56"/>
    </x:row>
    <x:row r="118">
      <x:c r="A118" s="56"/>
      <x:c r="B118" s="56"/>
      <x:c r="C118" s="56"/>
      <x:c r="D118" s="64"/>
      <x:c r="E118" s="56"/>
    </x:row>
    <x:row r="119">
      <x:c r="A119" s="56"/>
      <x:c r="B119" s="56"/>
      <x:c r="C119" s="56"/>
      <x:c r="D119" s="64"/>
      <x:c r="E119" s="56"/>
    </x:row>
    <x:row r="120">
      <x:c r="A120" s="56"/>
      <x:c r="B120" s="56"/>
      <x:c r="C120" s="56"/>
      <x:c r="D120" s="64"/>
      <x:c r="E120" s="56"/>
    </x:row>
    <x:row r="121">
      <x:c r="A121" s="56"/>
      <x:c r="B121" s="56"/>
      <x:c r="C121" s="56"/>
      <x:c r="D121" s="64"/>
      <x:c r="E121" s="56"/>
    </x:row>
    <x:row r="122">
      <x:c r="A122" s="56"/>
      <x:c r="B122" s="56"/>
      <x:c r="C122" s="56"/>
      <x:c r="D122" s="64"/>
      <x:c r="E122" s="56"/>
    </x:row>
    <x:row r="123">
      <x:c r="A123" s="56"/>
      <x:c r="B123" s="56"/>
      <x:c r="C123" s="56"/>
      <x:c r="D123" s="64"/>
      <x:c r="E123" s="56"/>
    </x:row>
    <x:row r="124">
      <x:c r="A124" s="56"/>
      <x:c r="B124" s="56"/>
      <x:c r="C124" s="56"/>
      <x:c r="D124" s="64"/>
      <x:c r="E124" s="56"/>
    </x:row>
    <x:row r="125">
      <x:c r="A125" s="56"/>
      <x:c r="B125" s="56"/>
      <x:c r="C125" s="56"/>
      <x:c r="D125" s="64"/>
      <x:c r="E125" s="56"/>
    </x:row>
    <x:row r="126">
      <x:c r="A126" s="56"/>
      <x:c r="B126" s="56"/>
      <x:c r="C126" s="56"/>
      <x:c r="D126" s="64"/>
      <x:c r="E126" s="56"/>
    </x:row>
    <x:row r="127">
      <x:c r="A127" s="56"/>
      <x:c r="B127" s="56"/>
      <x:c r="C127" s="56"/>
      <x:c r="D127" s="64"/>
      <x:c r="E127" s="56"/>
    </x:row>
    <x:row r="128">
      <x:c r="A128" s="56"/>
      <x:c r="B128" s="56"/>
      <x:c r="C128" s="56"/>
      <x:c r="D128" s="64"/>
      <x:c r="E128" s="56"/>
    </x:row>
    <x:row r="129">
      <x:c r="A129" s="56"/>
      <x:c r="B129" s="56"/>
      <x:c r="C129" s="56"/>
      <x:c r="D129" s="64"/>
      <x:c r="E129" s="56"/>
    </x:row>
    <x:row r="130">
      <x:c r="A130" s="56"/>
      <x:c r="B130" s="56"/>
      <x:c r="C130" s="56"/>
      <x:c r="D130" s="64"/>
      <x:c r="E130" s="56"/>
    </x:row>
    <x:row r="131">
      <x:c r="A131" s="56"/>
      <x:c r="B131" s="56"/>
      <x:c r="C131" s="56"/>
      <x:c r="D131" s="64"/>
      <x:c r="E131" s="56"/>
    </x:row>
    <x:row r="132">
      <x:c r="A132" s="56"/>
      <x:c r="B132" s="56"/>
      <x:c r="C132" s="56"/>
      <x:c r="D132" s="64"/>
      <x:c r="E132" s="56"/>
    </x:row>
    <x:row r="133">
      <x:c r="A133" s="56"/>
      <x:c r="B133" s="56"/>
      <x:c r="C133" s="56"/>
      <x:c r="D133" s="64"/>
      <x:c r="E133" s="56"/>
    </x:row>
    <x:row r="134">
      <x:c r="A134" s="56"/>
      <x:c r="B134" s="56"/>
      <x:c r="C134" s="56"/>
      <x:c r="D134" s="64"/>
      <x:c r="E134" s="56"/>
    </x:row>
    <x:row r="135">
      <x:c r="A135" s="56"/>
      <x:c r="B135" s="56"/>
      <x:c r="C135" s="56"/>
      <x:c r="D135" s="64"/>
      <x:c r="E135" s="56"/>
    </x:row>
    <x:row r="136">
      <x:c r="A136" s="56"/>
      <x:c r="B136" s="56"/>
      <x:c r="C136" s="56"/>
      <x:c r="D136" s="64"/>
      <x:c r="E136" s="56"/>
    </x:row>
    <x:row r="137">
      <x:c r="A137" s="56"/>
      <x:c r="B137" s="56"/>
      <x:c r="C137" s="56"/>
      <x:c r="D137" s="64"/>
      <x:c r="E137" s="56"/>
    </x:row>
    <x:row r="138">
      <x:c r="A138" s="56"/>
      <x:c r="B138" s="56"/>
      <x:c r="C138" s="56"/>
      <x:c r="D138" s="64"/>
      <x:c r="E138" s="56"/>
    </x:row>
    <x:row r="139">
      <x:c r="A139" s="56"/>
      <x:c r="B139" s="56"/>
      <x:c r="C139" s="56"/>
      <x:c r="D139" s="64"/>
      <x:c r="E139" s="56"/>
    </x:row>
    <x:row r="140">
      <x:c r="A140" s="56"/>
      <x:c r="B140" s="56"/>
      <x:c r="C140" s="56"/>
      <x:c r="D140" s="64"/>
      <x:c r="E140" s="56"/>
    </x:row>
    <x:row r="141">
      <x:c r="A141" s="56"/>
      <x:c r="B141" s="56"/>
      <x:c r="C141" s="56"/>
      <x:c r="D141" s="64"/>
      <x:c r="E141" s="56"/>
    </x:row>
    <x:row r="142">
      <x:c r="A142" s="56"/>
      <x:c r="B142" s="56"/>
      <x:c r="C142" s="56"/>
      <x:c r="D142" s="64"/>
      <x:c r="E142" s="56"/>
    </x:row>
    <x:row r="143">
      <x:c r="A143" s="56"/>
      <x:c r="B143" s="56"/>
      <x:c r="C143" s="56"/>
      <x:c r="D143" s="64"/>
      <x:c r="E143" s="56"/>
    </x:row>
    <x:row r="144">
      <x:c r="A144" s="56"/>
      <x:c r="B144" s="56"/>
      <x:c r="C144" s="56"/>
      <x:c r="D144" s="64"/>
      <x:c r="E144" s="56"/>
    </x:row>
    <x:row r="145">
      <x:c r="A145" s="56"/>
      <x:c r="B145" s="56"/>
      <x:c r="C145" s="56"/>
      <x:c r="D145" s="64"/>
      <x:c r="E145" s="56"/>
    </x:row>
    <x:row r="146">
      <x:c r="A146" s="56"/>
      <x:c r="B146" s="56"/>
      <x:c r="C146" s="56"/>
      <x:c r="D146" s="64"/>
      <x:c r="E146" s="56"/>
    </x:row>
    <x:row r="147">
      <x:c r="A147" s="56"/>
      <x:c r="B147" s="56"/>
      <x:c r="C147" s="56"/>
      <x:c r="D147" s="64"/>
      <x:c r="E147" s="56"/>
    </x:row>
    <x:row r="148">
      <x:c r="A148" s="56"/>
      <x:c r="B148" s="56"/>
      <x:c r="C148" s="56"/>
      <x:c r="D148" s="64"/>
      <x:c r="E148" s="56"/>
    </x:row>
    <x:row r="149">
      <x:c r="A149" s="56"/>
      <x:c r="B149" s="56"/>
      <x:c r="C149" s="56"/>
      <x:c r="D149" s="64"/>
      <x:c r="E149" s="56"/>
    </x:row>
    <x:row r="150">
      <x:c r="A150" s="56"/>
      <x:c r="B150" s="56"/>
      <x:c r="C150" s="56"/>
      <x:c r="D150" s="64"/>
      <x:c r="E150" s="56"/>
    </x:row>
    <x:row r="151">
      <x:c r="A151" s="56"/>
      <x:c r="B151" s="56"/>
      <x:c r="C151" s="56"/>
      <x:c r="D151" s="64"/>
      <x:c r="E151" s="56"/>
    </x:row>
    <x:row r="152">
      <x:c r="A152" s="56"/>
      <x:c r="B152" s="56"/>
      <x:c r="C152" s="56"/>
      <x:c r="D152" s="64"/>
      <x:c r="E152" s="56"/>
    </x:row>
    <x:row r="153">
      <x:c r="A153" s="56"/>
      <x:c r="B153" s="56"/>
      <x:c r="C153" s="56"/>
      <x:c r="D153" s="64"/>
      <x:c r="E153" s="56"/>
    </x:row>
    <x:row r="154">
      <x:c r="A154" s="56"/>
      <x:c r="B154" s="56"/>
      <x:c r="C154" s="56"/>
      <x:c r="D154" s="64"/>
      <x:c r="E154" s="56"/>
    </x:row>
    <x:row r="155">
      <x:c r="A155" s="56"/>
      <x:c r="B155" s="56"/>
      <x:c r="C155" s="56"/>
      <x:c r="D155" s="64"/>
      <x:c r="E155" s="56"/>
    </x:row>
    <x:row r="156">
      <x:c r="A156" s="56"/>
      <x:c r="B156" s="56"/>
      <x:c r="C156" s="56"/>
      <x:c r="D156" s="64"/>
      <x:c r="E156" s="56"/>
    </x:row>
    <x:row r="157">
      <x:c r="A157" s="56"/>
      <x:c r="B157" s="56"/>
      <x:c r="C157" s="56"/>
      <x:c r="D157" s="64"/>
      <x:c r="E157" s="56"/>
    </x:row>
    <x:row r="158">
      <x:c r="A158" s="56"/>
      <x:c r="B158" s="56"/>
      <x:c r="C158" s="56"/>
      <x:c r="D158" s="64"/>
      <x:c r="E158" s="56"/>
    </x:row>
    <x:row r="159">
      <x:c r="A159" s="56"/>
      <x:c r="B159" s="56"/>
      <x:c r="C159" s="56"/>
      <x:c r="D159" s="64"/>
      <x:c r="E159" s="56"/>
    </x:row>
    <x:row r="160">
      <x:c r="A160" s="56"/>
      <x:c r="B160" s="56"/>
      <x:c r="C160" s="56"/>
      <x:c r="D160" s="64"/>
      <x:c r="E160" s="56"/>
    </x:row>
    <x:row r="161">
      <x:c r="A161" s="56"/>
      <x:c r="B161" s="56"/>
      <x:c r="C161" s="56"/>
      <x:c r="D161" s="64"/>
      <x:c r="E161" s="56"/>
    </x:row>
    <x:row r="162">
      <x:c r="A162" s="56"/>
      <x:c r="B162" s="56"/>
      <x:c r="C162" s="56"/>
      <x:c r="D162" s="64"/>
      <x:c r="E162" s="56"/>
    </x:row>
    <x:row r="163">
      <x:c r="A163" s="56"/>
      <x:c r="B163" s="56"/>
      <x:c r="C163" s="56"/>
      <x:c r="D163" s="64"/>
      <x:c r="E163" s="56"/>
    </x:row>
    <x:row r="164">
      <x:c r="A164" s="56"/>
      <x:c r="B164" s="56"/>
      <x:c r="C164" s="56"/>
      <x:c r="D164" s="64"/>
      <x:c r="E164" s="56"/>
    </x:row>
    <x:row r="165">
      <x:c r="A165" s="56"/>
      <x:c r="B165" s="56"/>
      <x:c r="C165" s="56"/>
      <x:c r="D165" s="64"/>
      <x:c r="E165" s="56"/>
    </x:row>
    <x:row r="166">
      <x:c r="A166" s="56"/>
      <x:c r="B166" s="56"/>
      <x:c r="C166" s="56"/>
      <x:c r="D166" s="64"/>
      <x:c r="E166" s="56"/>
    </x:row>
    <x:row r="167">
      <x:c r="A167" s="56"/>
      <x:c r="B167" s="56"/>
      <x:c r="C167" s="56"/>
      <x:c r="D167" s="64"/>
      <x:c r="E167" s="56"/>
    </x:row>
    <x:row r="168">
      <x:c r="A168" s="56"/>
      <x:c r="B168" s="56"/>
      <x:c r="C168" s="56"/>
      <x:c r="D168" s="64"/>
      <x:c r="E168" s="56"/>
    </x:row>
    <x:row r="169">
      <x:c r="A169" s="56"/>
      <x:c r="B169" s="56"/>
      <x:c r="C169" s="56"/>
      <x:c r="D169" s="64"/>
      <x:c r="E169" s="56"/>
    </x:row>
    <x:row r="170">
      <x:c r="A170" s="56"/>
      <x:c r="B170" s="56"/>
      <x:c r="C170" s="56"/>
      <x:c r="D170" s="64"/>
      <x:c r="E170" s="56"/>
    </x:row>
    <x:row r="171">
      <x:c r="A171" s="56"/>
      <x:c r="B171" s="56"/>
      <x:c r="C171" s="56"/>
      <x:c r="D171" s="64"/>
      <x:c r="E171" s="56"/>
    </x:row>
    <x:row r="172">
      <x:c r="A172" s="56"/>
      <x:c r="B172" s="56"/>
      <x:c r="C172" s="56"/>
      <x:c r="D172" s="64"/>
      <x:c r="E172" s="56"/>
    </x:row>
    <x:row r="173">
      <x:c r="A173" s="56"/>
      <x:c r="B173" s="56"/>
      <x:c r="C173" s="56"/>
      <x:c r="D173" s="64"/>
      <x:c r="E173" s="56"/>
    </x:row>
    <x:row r="174">
      <x:c r="A174" s="56"/>
      <x:c r="B174" s="56"/>
      <x:c r="C174" s="56"/>
      <x:c r="D174" s="64"/>
      <x:c r="E174" s="56"/>
    </x:row>
    <x:row r="175">
      <x:c r="A175" s="56"/>
      <x:c r="B175" s="56"/>
      <x:c r="C175" s="56"/>
      <x:c r="D175" s="64"/>
      <x:c r="E175" s="56"/>
    </x:row>
    <x:row r="176">
      <x:c r="A176" s="56"/>
      <x:c r="B176" s="56"/>
      <x:c r="C176" s="56"/>
      <x:c r="D176" s="64"/>
      <x:c r="E176" s="56"/>
    </x:row>
    <x:row r="177">
      <x:c r="A177" s="56"/>
      <x:c r="B177" s="56"/>
      <x:c r="C177" s="56"/>
      <x:c r="D177" s="64"/>
      <x:c r="E177" s="56"/>
    </x:row>
    <x:row r="178">
      <x:c r="A178" s="56"/>
      <x:c r="B178" s="56"/>
      <x:c r="C178" s="56"/>
      <x:c r="D178" s="64"/>
      <x:c r="E178" s="56"/>
    </x:row>
    <x:row r="179">
      <x:c r="A179" s="56"/>
      <x:c r="B179" s="56"/>
      <x:c r="C179" s="56"/>
      <x:c r="D179" s="64"/>
      <x:c r="E179" s="56"/>
    </x:row>
    <x:row r="180">
      <x:c r="A180" s="56"/>
      <x:c r="B180" s="56"/>
      <x:c r="C180" s="56"/>
      <x:c r="D180" s="64"/>
      <x:c r="E180" s="56"/>
    </x:row>
    <x:row r="181">
      <x:c r="A181" s="56"/>
      <x:c r="B181" s="56"/>
      <x:c r="C181" s="56"/>
      <x:c r="D181" s="64"/>
      <x:c r="E181" s="56"/>
    </x:row>
    <x:row r="182">
      <x:c r="A182" s="56"/>
      <x:c r="B182" s="56"/>
      <x:c r="C182" s="56"/>
      <x:c r="D182" s="64"/>
      <x:c r="E182" s="56"/>
    </x:row>
    <x:row r="183">
      <x:c r="A183" s="56"/>
      <x:c r="B183" s="56"/>
      <x:c r="C183" s="56"/>
      <x:c r="D183" s="64"/>
      <x:c r="E183" s="56"/>
    </x:row>
    <x:row r="184">
      <x:c r="A184" s="56"/>
      <x:c r="B184" s="56"/>
      <x:c r="C184" s="56"/>
      <x:c r="D184" s="64"/>
      <x:c r="E184" s="56"/>
    </x:row>
    <x:row r="185">
      <x:c r="A185" s="56"/>
      <x:c r="B185" s="56"/>
      <x:c r="C185" s="56"/>
      <x:c r="D185" s="64"/>
      <x:c r="E185" s="56"/>
    </x:row>
    <x:row r="186">
      <x:c r="A186" s="56"/>
      <x:c r="B186" s="56"/>
      <x:c r="C186" s="56"/>
      <x:c r="D186" s="64"/>
      <x:c r="E186" s="56"/>
    </x:row>
    <x:row r="187">
      <x:c r="A187" s="56"/>
      <x:c r="B187" s="56"/>
      <x:c r="C187" s="56"/>
      <x:c r="D187" s="64"/>
      <x:c r="E187" s="56"/>
    </x:row>
    <x:row r="188">
      <x:c r="A188" s="56"/>
      <x:c r="B188" s="56"/>
      <x:c r="C188" s="56"/>
      <x:c r="D188" s="64"/>
      <x:c r="E188" s="56"/>
    </x:row>
    <x:row r="189">
      <x:c r="A189" s="56"/>
      <x:c r="B189" s="56"/>
      <x:c r="C189" s="56"/>
      <x:c r="D189" s="64"/>
      <x:c r="E189" s="56"/>
    </x:row>
    <x:row r="190">
      <x:c r="A190" s="56"/>
      <x:c r="B190" s="56"/>
      <x:c r="C190" s="56"/>
      <x:c r="D190" s="64"/>
      <x:c r="E190" s="56"/>
    </x:row>
    <x:row r="191">
      <x:c r="A191" s="56"/>
      <x:c r="B191" s="56"/>
      <x:c r="C191" s="56"/>
      <x:c r="D191" s="64"/>
      <x:c r="E191" s="56"/>
    </x:row>
    <x:row r="192">
      <x:c r="A192" s="56"/>
      <x:c r="B192" s="56"/>
      <x:c r="C192" s="56"/>
      <x:c r="D192" s="64"/>
      <x:c r="E192" s="56"/>
    </x:row>
    <x:row r="193">
      <x:c r="A193" s="56"/>
      <x:c r="B193" s="56"/>
      <x:c r="C193" s="56"/>
      <x:c r="D193" s="64"/>
      <x:c r="E193" s="56"/>
    </x:row>
    <x:row r="194">
      <x:c r="A194" s="56"/>
      <x:c r="B194" s="56"/>
      <x:c r="C194" s="56"/>
      <x:c r="D194" s="64"/>
      <x:c r="E194" s="56"/>
    </x:row>
    <x:row r="195">
      <x:c r="A195" s="56"/>
      <x:c r="B195" s="56"/>
      <x:c r="C195" s="56"/>
      <x:c r="D195" s="64"/>
      <x:c r="E195" s="56"/>
    </x:row>
    <x:row r="196">
      <x:c r="A196" s="56"/>
      <x:c r="B196" s="56"/>
      <x:c r="C196" s="56"/>
      <x:c r="D196" s="64"/>
      <x:c r="E196" s="56"/>
    </x:row>
    <x:row r="197">
      <x:c r="A197" s="56"/>
      <x:c r="B197" s="56"/>
      <x:c r="C197" s="56"/>
      <x:c r="D197" s="64"/>
      <x:c r="E197" s="56"/>
    </x:row>
    <x:row r="198">
      <x:c r="A198" s="56"/>
      <x:c r="B198" s="56"/>
      <x:c r="C198" s="56"/>
      <x:c r="D198" s="64"/>
      <x:c r="E198" s="56"/>
    </x:row>
    <x:row r="199">
      <x:c r="A199" s="56"/>
      <x:c r="B199" s="56"/>
      <x:c r="C199" s="56"/>
      <x:c r="D199" s="64"/>
      <x:c r="E199" s="56"/>
    </x:row>
    <x:row r="200">
      <x:c r="A200" s="56"/>
      <x:c r="B200" s="56"/>
      <x:c r="C200" s="56"/>
      <x:c r="D200" s="64"/>
      <x:c r="E200" s="56"/>
    </x:row>
    <x:row r="201">
      <x:c r="A201" s="56"/>
      <x:c r="B201" s="56"/>
      <x:c r="C201" s="56"/>
      <x:c r="D201" s="64"/>
      <x:c r="E201" s="56"/>
    </x:row>
    <x:row r="202">
      <x:c r="A202" s="56"/>
      <x:c r="B202" s="56"/>
      <x:c r="C202" s="56"/>
      <x:c r="D202" s="64"/>
      <x:c r="E202" s="56"/>
    </x:row>
    <x:row r="203">
      <x:c r="A203" s="56"/>
      <x:c r="B203" s="56"/>
      <x:c r="C203" s="56"/>
      <x:c r="D203" s="64"/>
      <x:c r="E203" s="56"/>
    </x:row>
    <x:row r="204">
      <x:c r="A204" s="56"/>
      <x:c r="B204" s="56"/>
      <x:c r="C204" s="56"/>
      <x:c r="D204" s="64"/>
      <x:c r="E204" s="56"/>
    </x:row>
  </x:sheetData>
  <x:dataValidations count="1">
    <x:dataValidation type="list" allowBlank="1" showDropDown="0" sqref="B5:B204">
      <x:formula1>"가용,비가용"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469999313354492" hidden="0" customWidth="1"/>
    <x:col min="2" max="2" width="31.290000915527344" hidden="0" customWidth="1"/>
    <x:col min="3" max="3" width="17.790000915527344" hidden="0" customWidth="1"/>
    <x:col min="4" max="4" width="38.650001525878906" hidden="0" customWidth="1"/>
  </x:cols>
  <x:sheetData>
    <x:row r="1">
      <x:c r="A1" s="49" t="str">
        <x:v>예산 상세</x:v>
      </x:c>
      <x:c r="B1" s="50"/>
      <x:c r="C1" s="50"/>
      <x:c r="D1" s="50"/>
    </x:row>
    <x:row r="2">
      <x:c r="A2" s="49" t="str">
        <x:v>대분류별 실제 지출 내역을 입력합니다.</x:v>
      </x:c>
      <x:c r="B2" s="50"/>
      <x:c r="C2" s="50"/>
      <x:c r="D2" s="50"/>
    </x:row>
    <x:row r="3">
      <x:c r="A3" s="50"/>
      <x:c r="B3" s="50"/>
      <x:c r="C3" s="50"/>
      <x:c r="D3" s="50"/>
    </x:row>
    <x:row r="4">
      <x:c r="A4" s="55" t="str">
        <x:v>대분류</x:v>
      </x:c>
      <x:c r="B4" s="55" t="str">
        <x:v>세부항목</x:v>
      </x:c>
      <x:c r="C4" s="55" t="str">
        <x:v>지출(원)</x:v>
      </x:c>
      <x:c r="D4" s="55" t="str">
        <x:v>비고</x:v>
      </x:c>
    </x:row>
    <x:row r="5">
      <x:c r="A5" s="56"/>
      <x:c r="B5" s="56"/>
      <x:c r="C5" s="64"/>
      <x:c r="D5" s="56"/>
    </x:row>
    <x:row r="6">
      <x:c r="A6" s="56"/>
      <x:c r="B6" s="56"/>
      <x:c r="C6" s="64"/>
      <x:c r="D6" s="56"/>
    </x:row>
    <x:row r="7">
      <x:c r="A7" s="56"/>
      <x:c r="B7" s="56"/>
      <x:c r="C7" s="64"/>
      <x:c r="D7" s="56"/>
    </x:row>
    <x:row r="8">
      <x:c r="A8" s="56"/>
      <x:c r="B8" s="56"/>
      <x:c r="C8" s="64"/>
      <x:c r="D8" s="56"/>
    </x:row>
    <x:row r="9">
      <x:c r="A9" s="56"/>
      <x:c r="B9" s="56"/>
      <x:c r="C9" s="64"/>
      <x:c r="D9" s="56"/>
    </x:row>
    <x:row r="10">
      <x:c r="A10" s="56"/>
      <x:c r="B10" s="56"/>
      <x:c r="C10" s="64"/>
      <x:c r="D10" s="56"/>
    </x:row>
    <x:row r="11">
      <x:c r="A11" s="56"/>
      <x:c r="B11" s="56"/>
      <x:c r="C11" s="64"/>
      <x:c r="D11" s="56"/>
    </x:row>
    <x:row r="12">
      <x:c r="A12" s="56"/>
      <x:c r="B12" s="56"/>
      <x:c r="C12" s="64"/>
      <x:c r="D12" s="56"/>
    </x:row>
    <x:row r="13">
      <x:c r="A13" s="56"/>
      <x:c r="B13" s="56"/>
      <x:c r="C13" s="64"/>
      <x:c r="D13" s="56"/>
    </x:row>
    <x:row r="14">
      <x:c r="A14" s="56"/>
      <x:c r="B14" s="56"/>
      <x:c r="C14" s="64"/>
      <x:c r="D14" s="56"/>
    </x:row>
    <x:row r="15">
      <x:c r="A15" s="56"/>
      <x:c r="B15" s="56"/>
      <x:c r="C15" s="64"/>
      <x:c r="D15" s="56"/>
    </x:row>
    <x:row r="16">
      <x:c r="A16" s="56"/>
      <x:c r="B16" s="56"/>
      <x:c r="C16" s="64"/>
      <x:c r="D16" s="56"/>
    </x:row>
    <x:row r="17">
      <x:c r="A17" s="56"/>
      <x:c r="B17" s="56"/>
      <x:c r="C17" s="64"/>
      <x:c r="D17" s="56"/>
    </x:row>
    <x:row r="18">
      <x:c r="A18" s="56"/>
      <x:c r="B18" s="56"/>
      <x:c r="C18" s="64"/>
      <x:c r="D18" s="56"/>
    </x:row>
    <x:row r="19">
      <x:c r="A19" s="56"/>
      <x:c r="B19" s="56"/>
      <x:c r="C19" s="64"/>
      <x:c r="D19" s="56"/>
    </x:row>
    <x:row r="20">
      <x:c r="A20" s="56"/>
      <x:c r="B20" s="56"/>
      <x:c r="C20" s="64"/>
      <x:c r="D20" s="56"/>
    </x:row>
    <x:row r="21">
      <x:c r="A21" s="56"/>
      <x:c r="B21" s="56"/>
      <x:c r="C21" s="64"/>
      <x:c r="D21" s="56"/>
    </x:row>
    <x:row r="22">
      <x:c r="A22" s="56"/>
      <x:c r="B22" s="56"/>
      <x:c r="C22" s="64"/>
      <x:c r="D22" s="56"/>
    </x:row>
    <x:row r="23">
      <x:c r="A23" s="56"/>
      <x:c r="B23" s="56"/>
      <x:c r="C23" s="64"/>
      <x:c r="D23" s="56"/>
    </x:row>
    <x:row r="24">
      <x:c r="A24" s="56"/>
      <x:c r="B24" s="56"/>
      <x:c r="C24" s="64"/>
      <x:c r="D24" s="56"/>
    </x:row>
    <x:row r="25">
      <x:c r="A25" s="56"/>
      <x:c r="B25" s="56"/>
      <x:c r="C25" s="64"/>
      <x:c r="D25" s="56"/>
    </x:row>
    <x:row r="26">
      <x:c r="A26" s="56"/>
      <x:c r="B26" s="56"/>
      <x:c r="C26" s="64"/>
      <x:c r="D26" s="56"/>
    </x:row>
    <x:row r="27">
      <x:c r="A27" s="56"/>
      <x:c r="B27" s="56"/>
      <x:c r="C27" s="64"/>
      <x:c r="D27" s="56"/>
    </x:row>
    <x:row r="28">
      <x:c r="A28" s="56"/>
      <x:c r="B28" s="56"/>
      <x:c r="C28" s="64"/>
      <x:c r="D28" s="56"/>
    </x:row>
    <x:row r="29">
      <x:c r="A29" s="56"/>
      <x:c r="B29" s="56"/>
      <x:c r="C29" s="64"/>
      <x:c r="D29" s="56"/>
    </x:row>
    <x:row r="30">
      <x:c r="A30" s="56"/>
      <x:c r="B30" s="56"/>
      <x:c r="C30" s="64"/>
      <x:c r="D30" s="56"/>
    </x:row>
    <x:row r="31">
      <x:c r="A31" s="56"/>
      <x:c r="B31" s="56"/>
      <x:c r="C31" s="64"/>
      <x:c r="D31" s="56"/>
    </x:row>
    <x:row r="32">
      <x:c r="A32" s="56"/>
      <x:c r="B32" s="56"/>
      <x:c r="C32" s="64"/>
      <x:c r="D32" s="56"/>
    </x:row>
    <x:row r="33">
      <x:c r="A33" s="56"/>
      <x:c r="B33" s="56"/>
      <x:c r="C33" s="64"/>
      <x:c r="D33" s="56"/>
    </x:row>
    <x:row r="34">
      <x:c r="A34" s="56"/>
      <x:c r="B34" s="56"/>
      <x:c r="C34" s="64"/>
      <x:c r="D34" s="56"/>
    </x:row>
    <x:row r="35">
      <x:c r="A35" s="56"/>
      <x:c r="B35" s="56"/>
      <x:c r="C35" s="64"/>
      <x:c r="D35" s="56"/>
    </x:row>
    <x:row r="36">
      <x:c r="A36" s="56"/>
      <x:c r="B36" s="56"/>
      <x:c r="C36" s="64"/>
      <x:c r="D36" s="56"/>
    </x:row>
    <x:row r="37">
      <x:c r="A37" s="56"/>
      <x:c r="B37" s="56"/>
      <x:c r="C37" s="64"/>
      <x:c r="D37" s="56"/>
    </x:row>
    <x:row r="38">
      <x:c r="A38" s="56"/>
      <x:c r="B38" s="56"/>
      <x:c r="C38" s="64"/>
      <x:c r="D38" s="56"/>
    </x:row>
    <x:row r="39">
      <x:c r="A39" s="56"/>
      <x:c r="B39" s="56"/>
      <x:c r="C39" s="64"/>
      <x:c r="D39" s="56"/>
    </x:row>
    <x:row r="40">
      <x:c r="A40" s="56"/>
      <x:c r="B40" s="56"/>
      <x:c r="C40" s="64"/>
      <x:c r="D40" s="56"/>
    </x:row>
    <x:row r="41">
      <x:c r="A41" s="56"/>
      <x:c r="B41" s="56"/>
      <x:c r="C41" s="64"/>
      <x:c r="D41" s="56"/>
    </x:row>
    <x:row r="42">
      <x:c r="A42" s="56"/>
      <x:c r="B42" s="56"/>
      <x:c r="C42" s="64"/>
      <x:c r="D42" s="56"/>
    </x:row>
    <x:row r="43">
      <x:c r="A43" s="56"/>
      <x:c r="B43" s="56"/>
      <x:c r="C43" s="64"/>
      <x:c r="D43" s="56"/>
    </x:row>
    <x:row r="44">
      <x:c r="A44" s="56"/>
      <x:c r="B44" s="56"/>
      <x:c r="C44" s="64"/>
      <x:c r="D44" s="56"/>
    </x:row>
    <x:row r="45">
      <x:c r="A45" s="56"/>
      <x:c r="B45" s="56"/>
      <x:c r="C45" s="64"/>
      <x:c r="D45" s="56"/>
    </x:row>
    <x:row r="46">
      <x:c r="A46" s="56"/>
      <x:c r="B46" s="56"/>
      <x:c r="C46" s="64"/>
      <x:c r="D46" s="56"/>
    </x:row>
    <x:row r="47">
      <x:c r="A47" s="56"/>
      <x:c r="B47" s="56"/>
      <x:c r="C47" s="64"/>
      <x:c r="D47" s="56"/>
    </x:row>
    <x:row r="48">
      <x:c r="A48" s="56"/>
      <x:c r="B48" s="56"/>
      <x:c r="C48" s="64"/>
      <x:c r="D48" s="56"/>
    </x:row>
    <x:row r="49">
      <x:c r="A49" s="56"/>
      <x:c r="B49" s="56"/>
      <x:c r="C49" s="64"/>
      <x:c r="D49" s="56"/>
    </x:row>
    <x:row r="50">
      <x:c r="A50" s="56"/>
      <x:c r="B50" s="56"/>
      <x:c r="C50" s="64"/>
      <x:c r="D50" s="56"/>
    </x:row>
    <x:row r="51">
      <x:c r="A51" s="56"/>
      <x:c r="B51" s="56"/>
      <x:c r="C51" s="64"/>
      <x:c r="D51" s="56"/>
    </x:row>
    <x:row r="52">
      <x:c r="A52" s="56"/>
      <x:c r="B52" s="56"/>
      <x:c r="C52" s="64"/>
      <x:c r="D52" s="56"/>
    </x:row>
    <x:row r="53">
      <x:c r="A53" s="56"/>
      <x:c r="B53" s="56"/>
      <x:c r="C53" s="64"/>
      <x:c r="D53" s="56"/>
    </x:row>
    <x:row r="54">
      <x:c r="A54" s="56"/>
      <x:c r="B54" s="56"/>
      <x:c r="C54" s="64"/>
      <x:c r="D54" s="56"/>
    </x:row>
    <x:row r="55">
      <x:c r="A55" s="56"/>
      <x:c r="B55" s="56"/>
      <x:c r="C55" s="64"/>
      <x:c r="D55" s="56"/>
    </x:row>
    <x:row r="56">
      <x:c r="A56" s="56"/>
      <x:c r="B56" s="56"/>
      <x:c r="C56" s="64"/>
      <x:c r="D56" s="56"/>
    </x:row>
    <x:row r="57">
      <x:c r="A57" s="56"/>
      <x:c r="B57" s="56"/>
      <x:c r="C57" s="64"/>
      <x:c r="D57" s="56"/>
    </x:row>
    <x:row r="58">
      <x:c r="A58" s="56"/>
      <x:c r="B58" s="56"/>
      <x:c r="C58" s="64"/>
      <x:c r="D58" s="56"/>
    </x:row>
    <x:row r="59">
      <x:c r="A59" s="56"/>
      <x:c r="B59" s="56"/>
      <x:c r="C59" s="64"/>
      <x:c r="D59" s="56"/>
    </x:row>
    <x:row r="60">
      <x:c r="A60" s="56"/>
      <x:c r="B60" s="56"/>
      <x:c r="C60" s="64"/>
      <x:c r="D60" s="56"/>
    </x:row>
    <x:row r="61">
      <x:c r="A61" s="56"/>
      <x:c r="B61" s="56"/>
      <x:c r="C61" s="64"/>
      <x:c r="D61" s="56"/>
    </x:row>
    <x:row r="62">
      <x:c r="A62" s="56"/>
      <x:c r="B62" s="56"/>
      <x:c r="C62" s="64"/>
      <x:c r="D62" s="56"/>
    </x:row>
    <x:row r="63">
      <x:c r="A63" s="56"/>
      <x:c r="B63" s="56"/>
      <x:c r="C63" s="64"/>
      <x:c r="D63" s="56"/>
    </x:row>
    <x:row r="64">
      <x:c r="A64" s="56"/>
      <x:c r="B64" s="56"/>
      <x:c r="C64" s="64"/>
      <x:c r="D64" s="56"/>
    </x:row>
    <x:row r="65">
      <x:c r="A65" s="56"/>
      <x:c r="B65" s="56"/>
      <x:c r="C65" s="64"/>
      <x:c r="D65" s="56"/>
    </x:row>
    <x:row r="66">
      <x:c r="A66" s="56"/>
      <x:c r="B66" s="56"/>
      <x:c r="C66" s="64"/>
      <x:c r="D66" s="56"/>
    </x:row>
    <x:row r="67">
      <x:c r="A67" s="56"/>
      <x:c r="B67" s="56"/>
      <x:c r="C67" s="64"/>
      <x:c r="D67" s="56"/>
    </x:row>
    <x:row r="68">
      <x:c r="A68" s="56"/>
      <x:c r="B68" s="56"/>
      <x:c r="C68" s="64"/>
      <x:c r="D68" s="56"/>
    </x:row>
    <x:row r="69">
      <x:c r="A69" s="56"/>
      <x:c r="B69" s="56"/>
      <x:c r="C69" s="64"/>
      <x:c r="D69" s="56"/>
    </x:row>
    <x:row r="70">
      <x:c r="A70" s="56"/>
      <x:c r="B70" s="56"/>
      <x:c r="C70" s="64"/>
      <x:c r="D70" s="56"/>
    </x:row>
    <x:row r="71">
      <x:c r="A71" s="56"/>
      <x:c r="B71" s="56"/>
      <x:c r="C71" s="64"/>
      <x:c r="D71" s="56"/>
    </x:row>
    <x:row r="72">
      <x:c r="A72" s="56"/>
      <x:c r="B72" s="56"/>
      <x:c r="C72" s="64"/>
      <x:c r="D72" s="56"/>
    </x:row>
    <x:row r="73">
      <x:c r="A73" s="56"/>
      <x:c r="B73" s="56"/>
      <x:c r="C73" s="64"/>
      <x:c r="D73" s="56"/>
    </x:row>
    <x:row r="74">
      <x:c r="A74" s="56"/>
      <x:c r="B74" s="56"/>
      <x:c r="C74" s="64"/>
      <x:c r="D74" s="56"/>
    </x:row>
    <x:row r="75">
      <x:c r="A75" s="56"/>
      <x:c r="B75" s="56"/>
      <x:c r="C75" s="64"/>
      <x:c r="D75" s="56"/>
    </x:row>
    <x:row r="76">
      <x:c r="A76" s="56"/>
      <x:c r="B76" s="56"/>
      <x:c r="C76" s="64"/>
      <x:c r="D76" s="56"/>
    </x:row>
    <x:row r="77">
      <x:c r="A77" s="56"/>
      <x:c r="B77" s="56"/>
      <x:c r="C77" s="64"/>
      <x:c r="D77" s="56"/>
    </x:row>
    <x:row r="78">
      <x:c r="A78" s="56"/>
      <x:c r="B78" s="56"/>
      <x:c r="C78" s="64"/>
      <x:c r="D78" s="56"/>
    </x:row>
    <x:row r="79">
      <x:c r="A79" s="56"/>
      <x:c r="B79" s="56"/>
      <x:c r="C79" s="64"/>
      <x:c r="D79" s="56"/>
    </x:row>
    <x:row r="80">
      <x:c r="A80" s="56"/>
      <x:c r="B80" s="56"/>
      <x:c r="C80" s="64"/>
      <x:c r="D80" s="56"/>
    </x:row>
    <x:row r="81">
      <x:c r="A81" s="56"/>
      <x:c r="B81" s="56"/>
      <x:c r="C81" s="64"/>
      <x:c r="D81" s="56"/>
    </x:row>
    <x:row r="82">
      <x:c r="A82" s="56"/>
      <x:c r="B82" s="56"/>
      <x:c r="C82" s="64"/>
      <x:c r="D82" s="56"/>
    </x:row>
    <x:row r="83">
      <x:c r="A83" s="56"/>
      <x:c r="B83" s="56"/>
      <x:c r="C83" s="64"/>
      <x:c r="D83" s="56"/>
    </x:row>
    <x:row r="84">
      <x:c r="A84" s="56"/>
      <x:c r="B84" s="56"/>
      <x:c r="C84" s="64"/>
      <x:c r="D84" s="56"/>
    </x:row>
    <x:row r="85">
      <x:c r="A85" s="56"/>
      <x:c r="B85" s="56"/>
      <x:c r="C85" s="64"/>
      <x:c r="D85" s="56"/>
    </x:row>
    <x:row r="86">
      <x:c r="A86" s="56"/>
      <x:c r="B86" s="56"/>
      <x:c r="C86" s="64"/>
      <x:c r="D86" s="56"/>
    </x:row>
    <x:row r="87">
      <x:c r="A87" s="56"/>
      <x:c r="B87" s="56"/>
      <x:c r="C87" s="64"/>
      <x:c r="D87" s="56"/>
    </x:row>
    <x:row r="88">
      <x:c r="A88" s="56"/>
      <x:c r="B88" s="56"/>
      <x:c r="C88" s="64"/>
      <x:c r="D88" s="56"/>
    </x:row>
    <x:row r="89">
      <x:c r="A89" s="56"/>
      <x:c r="B89" s="56"/>
      <x:c r="C89" s="64"/>
      <x:c r="D89" s="56"/>
    </x:row>
    <x:row r="90">
      <x:c r="A90" s="56"/>
      <x:c r="B90" s="56"/>
      <x:c r="C90" s="64"/>
      <x:c r="D90" s="56"/>
    </x:row>
    <x:row r="91">
      <x:c r="A91" s="56"/>
      <x:c r="B91" s="56"/>
      <x:c r="C91" s="64"/>
      <x:c r="D91" s="56"/>
    </x:row>
    <x:row r="92">
      <x:c r="A92" s="56"/>
      <x:c r="B92" s="56"/>
      <x:c r="C92" s="64"/>
      <x:c r="D92" s="56"/>
    </x:row>
    <x:row r="93">
      <x:c r="A93" s="56"/>
      <x:c r="B93" s="56"/>
      <x:c r="C93" s="64"/>
      <x:c r="D93" s="56"/>
    </x:row>
    <x:row r="94">
      <x:c r="A94" s="56"/>
      <x:c r="B94" s="56"/>
      <x:c r="C94" s="64"/>
      <x:c r="D94" s="56"/>
    </x:row>
    <x:row r="95">
      <x:c r="A95" s="56"/>
      <x:c r="B95" s="56"/>
      <x:c r="C95" s="64"/>
      <x:c r="D95" s="56"/>
    </x:row>
    <x:row r="96">
      <x:c r="A96" s="56"/>
      <x:c r="B96" s="56"/>
      <x:c r="C96" s="64"/>
      <x:c r="D96" s="56"/>
    </x:row>
    <x:row r="97">
      <x:c r="A97" s="56"/>
      <x:c r="B97" s="56"/>
      <x:c r="C97" s="64"/>
      <x:c r="D97" s="56"/>
    </x:row>
    <x:row r="98">
      <x:c r="A98" s="56"/>
      <x:c r="B98" s="56"/>
      <x:c r="C98" s="64"/>
      <x:c r="D98" s="56"/>
    </x:row>
    <x:row r="99">
      <x:c r="A99" s="56"/>
      <x:c r="B99" s="56"/>
      <x:c r="C99" s="64"/>
      <x:c r="D99" s="56"/>
    </x:row>
    <x:row r="100">
      <x:c r="A100" s="56"/>
      <x:c r="B100" s="56"/>
      <x:c r="C100" s="64"/>
      <x:c r="D100" s="56"/>
    </x:row>
    <x:row r="101">
      <x:c r="A101" s="56"/>
      <x:c r="B101" s="56"/>
      <x:c r="C101" s="64"/>
      <x:c r="D101" s="56"/>
    </x:row>
    <x:row r="102">
      <x:c r="A102" s="56"/>
      <x:c r="B102" s="56"/>
      <x:c r="C102" s="64"/>
      <x:c r="D102" s="56"/>
    </x:row>
    <x:row r="103">
      <x:c r="A103" s="56"/>
      <x:c r="B103" s="56"/>
      <x:c r="C103" s="64"/>
      <x:c r="D103" s="56"/>
    </x:row>
    <x:row r="104">
      <x:c r="A104" s="56"/>
      <x:c r="B104" s="56"/>
      <x:c r="C104" s="64"/>
      <x:c r="D104" s="56"/>
    </x:row>
    <x:row r="105">
      <x:c r="A105" s="56"/>
      <x:c r="B105" s="56"/>
      <x:c r="C105" s="64"/>
      <x:c r="D105" s="56"/>
    </x:row>
    <x:row r="106">
      <x:c r="A106" s="56"/>
      <x:c r="B106" s="56"/>
      <x:c r="C106" s="64"/>
      <x:c r="D106" s="56"/>
    </x:row>
    <x:row r="107">
      <x:c r="A107" s="56"/>
      <x:c r="B107" s="56"/>
      <x:c r="C107" s="64"/>
      <x:c r="D107" s="56"/>
    </x:row>
    <x:row r="108">
      <x:c r="A108" s="56"/>
      <x:c r="B108" s="56"/>
      <x:c r="C108" s="64"/>
      <x:c r="D108" s="56"/>
    </x:row>
    <x:row r="109">
      <x:c r="A109" s="56"/>
      <x:c r="B109" s="56"/>
      <x:c r="C109" s="64"/>
      <x:c r="D109" s="56"/>
    </x:row>
    <x:row r="110">
      <x:c r="A110" s="56"/>
      <x:c r="B110" s="56"/>
      <x:c r="C110" s="64"/>
      <x:c r="D110" s="56"/>
    </x:row>
    <x:row r="111">
      <x:c r="A111" s="56"/>
      <x:c r="B111" s="56"/>
      <x:c r="C111" s="64"/>
      <x:c r="D111" s="56"/>
    </x:row>
    <x:row r="112">
      <x:c r="A112" s="56"/>
      <x:c r="B112" s="56"/>
      <x:c r="C112" s="64"/>
      <x:c r="D112" s="56"/>
    </x:row>
    <x:row r="113">
      <x:c r="A113" s="56"/>
      <x:c r="B113" s="56"/>
      <x:c r="C113" s="64"/>
      <x:c r="D113" s="56"/>
    </x:row>
    <x:row r="114">
      <x:c r="A114" s="56"/>
      <x:c r="B114" s="56"/>
      <x:c r="C114" s="64"/>
      <x:c r="D114" s="56"/>
    </x:row>
    <x:row r="115">
      <x:c r="A115" s="56"/>
      <x:c r="B115" s="56"/>
      <x:c r="C115" s="64"/>
      <x:c r="D115" s="56"/>
    </x:row>
    <x:row r="116">
      <x:c r="A116" s="56"/>
      <x:c r="B116" s="56"/>
      <x:c r="C116" s="64"/>
      <x:c r="D116" s="56"/>
    </x:row>
    <x:row r="117">
      <x:c r="A117" s="56"/>
      <x:c r="B117" s="56"/>
      <x:c r="C117" s="64"/>
      <x:c r="D117" s="56"/>
    </x:row>
    <x:row r="118">
      <x:c r="A118" s="56"/>
      <x:c r="B118" s="56"/>
      <x:c r="C118" s="64"/>
      <x:c r="D118" s="56"/>
    </x:row>
    <x:row r="119">
      <x:c r="A119" s="56"/>
      <x:c r="B119" s="56"/>
      <x:c r="C119" s="64"/>
      <x:c r="D119" s="56"/>
    </x:row>
    <x:row r="120">
      <x:c r="A120" s="56"/>
      <x:c r="B120" s="56"/>
      <x:c r="C120" s="64"/>
      <x:c r="D120" s="56"/>
    </x:row>
    <x:row r="121">
      <x:c r="A121" s="56"/>
      <x:c r="B121" s="56"/>
      <x:c r="C121" s="64"/>
      <x:c r="D121" s="56"/>
    </x:row>
    <x:row r="122">
      <x:c r="A122" s="56"/>
      <x:c r="B122" s="56"/>
      <x:c r="C122" s="64"/>
      <x:c r="D122" s="56"/>
    </x:row>
    <x:row r="123">
      <x:c r="A123" s="56"/>
      <x:c r="B123" s="56"/>
      <x:c r="C123" s="64"/>
      <x:c r="D123" s="56"/>
    </x:row>
    <x:row r="124">
      <x:c r="A124" s="56"/>
      <x:c r="B124" s="56"/>
      <x:c r="C124" s="64"/>
      <x:c r="D124" s="56"/>
    </x:row>
    <x:row r="125">
      <x:c r="A125" s="56"/>
      <x:c r="B125" s="56"/>
      <x:c r="C125" s="64"/>
      <x:c r="D125" s="56"/>
    </x:row>
    <x:row r="126">
      <x:c r="A126" s="56"/>
      <x:c r="B126" s="56"/>
      <x:c r="C126" s="64"/>
      <x:c r="D126" s="56"/>
    </x:row>
    <x:row r="127">
      <x:c r="A127" s="56"/>
      <x:c r="B127" s="56"/>
      <x:c r="C127" s="64"/>
      <x:c r="D127" s="56"/>
    </x:row>
    <x:row r="128">
      <x:c r="A128" s="56"/>
      <x:c r="B128" s="56"/>
      <x:c r="C128" s="64"/>
      <x:c r="D128" s="56"/>
    </x:row>
    <x:row r="129">
      <x:c r="A129" s="56"/>
      <x:c r="B129" s="56"/>
      <x:c r="C129" s="64"/>
      <x:c r="D129" s="56"/>
    </x:row>
    <x:row r="130">
      <x:c r="A130" s="56"/>
      <x:c r="B130" s="56"/>
      <x:c r="C130" s="64"/>
      <x:c r="D130" s="56"/>
    </x:row>
    <x:row r="131">
      <x:c r="A131" s="56"/>
      <x:c r="B131" s="56"/>
      <x:c r="C131" s="64"/>
      <x:c r="D131" s="56"/>
    </x:row>
    <x:row r="132">
      <x:c r="A132" s="56"/>
      <x:c r="B132" s="56"/>
      <x:c r="C132" s="64"/>
      <x:c r="D132" s="56"/>
    </x:row>
    <x:row r="133">
      <x:c r="A133" s="56"/>
      <x:c r="B133" s="56"/>
      <x:c r="C133" s="64"/>
      <x:c r="D133" s="56"/>
    </x:row>
    <x:row r="134">
      <x:c r="A134" s="56"/>
      <x:c r="B134" s="56"/>
      <x:c r="C134" s="64"/>
      <x:c r="D134" s="56"/>
    </x:row>
    <x:row r="135">
      <x:c r="A135" s="56"/>
      <x:c r="B135" s="56"/>
      <x:c r="C135" s="64"/>
      <x:c r="D135" s="56"/>
    </x:row>
    <x:row r="136">
      <x:c r="A136" s="56"/>
      <x:c r="B136" s="56"/>
      <x:c r="C136" s="64"/>
      <x:c r="D136" s="56"/>
    </x:row>
    <x:row r="137">
      <x:c r="A137" s="56"/>
      <x:c r="B137" s="56"/>
      <x:c r="C137" s="64"/>
      <x:c r="D137" s="56"/>
    </x:row>
    <x:row r="138">
      <x:c r="A138" s="56"/>
      <x:c r="B138" s="56"/>
      <x:c r="C138" s="64"/>
      <x:c r="D138" s="56"/>
    </x:row>
    <x:row r="139">
      <x:c r="A139" s="56"/>
      <x:c r="B139" s="56"/>
      <x:c r="C139" s="64"/>
      <x:c r="D139" s="56"/>
    </x:row>
    <x:row r="140">
      <x:c r="A140" s="56"/>
      <x:c r="B140" s="56"/>
      <x:c r="C140" s="64"/>
      <x:c r="D140" s="56"/>
    </x:row>
    <x:row r="141">
      <x:c r="A141" s="56"/>
      <x:c r="B141" s="56"/>
      <x:c r="C141" s="64"/>
      <x:c r="D141" s="56"/>
    </x:row>
    <x:row r="142">
      <x:c r="A142" s="56"/>
      <x:c r="B142" s="56"/>
      <x:c r="C142" s="64"/>
      <x:c r="D142" s="56"/>
    </x:row>
    <x:row r="143">
      <x:c r="A143" s="56"/>
      <x:c r="B143" s="56"/>
      <x:c r="C143" s="64"/>
      <x:c r="D143" s="56"/>
    </x:row>
    <x:row r="144">
      <x:c r="A144" s="56"/>
      <x:c r="B144" s="56"/>
      <x:c r="C144" s="64"/>
      <x:c r="D144" s="56"/>
    </x:row>
    <x:row r="145">
      <x:c r="A145" s="56"/>
      <x:c r="B145" s="56"/>
      <x:c r="C145" s="64"/>
      <x:c r="D145" s="56"/>
    </x:row>
    <x:row r="146">
      <x:c r="A146" s="56"/>
      <x:c r="B146" s="56"/>
      <x:c r="C146" s="64"/>
      <x:c r="D146" s="56"/>
    </x:row>
    <x:row r="147">
      <x:c r="A147" s="56"/>
      <x:c r="B147" s="56"/>
      <x:c r="C147" s="64"/>
      <x:c r="D147" s="56"/>
    </x:row>
    <x:row r="148">
      <x:c r="A148" s="56"/>
      <x:c r="B148" s="56"/>
      <x:c r="C148" s="64"/>
      <x:c r="D148" s="56"/>
    </x:row>
    <x:row r="149">
      <x:c r="A149" s="56"/>
      <x:c r="B149" s="56"/>
      <x:c r="C149" s="64"/>
      <x:c r="D149" s="56"/>
    </x:row>
    <x:row r="150">
      <x:c r="A150" s="56"/>
      <x:c r="B150" s="56"/>
      <x:c r="C150" s="64"/>
      <x:c r="D150" s="56"/>
    </x:row>
    <x:row r="151">
      <x:c r="A151" s="56"/>
      <x:c r="B151" s="56"/>
      <x:c r="C151" s="64"/>
      <x:c r="D151" s="56"/>
    </x:row>
    <x:row r="152">
      <x:c r="A152" s="56"/>
      <x:c r="B152" s="56"/>
      <x:c r="C152" s="64"/>
      <x:c r="D152" s="56"/>
    </x:row>
    <x:row r="153">
      <x:c r="A153" s="56"/>
      <x:c r="B153" s="56"/>
      <x:c r="C153" s="64"/>
      <x:c r="D153" s="56"/>
    </x:row>
    <x:row r="154">
      <x:c r="A154" s="56"/>
      <x:c r="B154" s="56"/>
      <x:c r="C154" s="64"/>
      <x:c r="D154" s="56"/>
    </x:row>
    <x:row r="155">
      <x:c r="A155" s="56"/>
      <x:c r="B155" s="56"/>
      <x:c r="C155" s="64"/>
      <x:c r="D155" s="56"/>
    </x:row>
    <x:row r="156">
      <x:c r="A156" s="56"/>
      <x:c r="B156" s="56"/>
      <x:c r="C156" s="64"/>
      <x:c r="D156" s="56"/>
    </x:row>
    <x:row r="157">
      <x:c r="A157" s="56"/>
      <x:c r="B157" s="56"/>
      <x:c r="C157" s="64"/>
      <x:c r="D157" s="56"/>
    </x:row>
    <x:row r="158">
      <x:c r="A158" s="56"/>
      <x:c r="B158" s="56"/>
      <x:c r="C158" s="64"/>
      <x:c r="D158" s="56"/>
    </x:row>
    <x:row r="159">
      <x:c r="A159" s="56"/>
      <x:c r="B159" s="56"/>
      <x:c r="C159" s="64"/>
      <x:c r="D159" s="56"/>
    </x:row>
    <x:row r="160">
      <x:c r="A160" s="56"/>
      <x:c r="B160" s="56"/>
      <x:c r="C160" s="64"/>
      <x:c r="D160" s="56"/>
    </x:row>
    <x:row r="161">
      <x:c r="A161" s="56"/>
      <x:c r="B161" s="56"/>
      <x:c r="C161" s="64"/>
      <x:c r="D161" s="56"/>
    </x:row>
    <x:row r="162">
      <x:c r="A162" s="56"/>
      <x:c r="B162" s="56"/>
      <x:c r="C162" s="64"/>
      <x:c r="D162" s="56"/>
    </x:row>
    <x:row r="163">
      <x:c r="A163" s="56"/>
      <x:c r="B163" s="56"/>
      <x:c r="C163" s="64"/>
      <x:c r="D163" s="56"/>
    </x:row>
    <x:row r="164">
      <x:c r="A164" s="56"/>
      <x:c r="B164" s="56"/>
      <x:c r="C164" s="64"/>
      <x:c r="D164" s="56"/>
    </x:row>
    <x:row r="165">
      <x:c r="A165" s="56"/>
      <x:c r="B165" s="56"/>
      <x:c r="C165" s="64"/>
      <x:c r="D165" s="56"/>
    </x:row>
    <x:row r="166">
      <x:c r="A166" s="56"/>
      <x:c r="B166" s="56"/>
      <x:c r="C166" s="64"/>
      <x:c r="D166" s="56"/>
    </x:row>
    <x:row r="167">
      <x:c r="A167" s="56"/>
      <x:c r="B167" s="56"/>
      <x:c r="C167" s="64"/>
      <x:c r="D167" s="56"/>
    </x:row>
    <x:row r="168">
      <x:c r="A168" s="56"/>
      <x:c r="B168" s="56"/>
      <x:c r="C168" s="64"/>
      <x:c r="D168" s="56"/>
    </x:row>
    <x:row r="169">
      <x:c r="A169" s="56"/>
      <x:c r="B169" s="56"/>
      <x:c r="C169" s="64"/>
      <x:c r="D169" s="56"/>
    </x:row>
    <x:row r="170">
      <x:c r="A170" s="56"/>
      <x:c r="B170" s="56"/>
      <x:c r="C170" s="64"/>
      <x:c r="D170" s="56"/>
    </x:row>
    <x:row r="171">
      <x:c r="A171" s="56"/>
      <x:c r="B171" s="56"/>
      <x:c r="C171" s="64"/>
      <x:c r="D171" s="56"/>
    </x:row>
    <x:row r="172">
      <x:c r="A172" s="56"/>
      <x:c r="B172" s="56"/>
      <x:c r="C172" s="64"/>
      <x:c r="D172" s="56"/>
    </x:row>
    <x:row r="173">
      <x:c r="A173" s="56"/>
      <x:c r="B173" s="56"/>
      <x:c r="C173" s="64"/>
      <x:c r="D173" s="56"/>
    </x:row>
    <x:row r="174">
      <x:c r="A174" s="56"/>
      <x:c r="B174" s="56"/>
      <x:c r="C174" s="64"/>
      <x:c r="D174" s="56"/>
    </x:row>
    <x:row r="175">
      <x:c r="A175" s="56"/>
      <x:c r="B175" s="56"/>
      <x:c r="C175" s="64"/>
      <x:c r="D175" s="56"/>
    </x:row>
    <x:row r="176">
      <x:c r="A176" s="56"/>
      <x:c r="B176" s="56"/>
      <x:c r="C176" s="64"/>
      <x:c r="D176" s="56"/>
    </x:row>
    <x:row r="177">
      <x:c r="A177" s="56"/>
      <x:c r="B177" s="56"/>
      <x:c r="C177" s="64"/>
      <x:c r="D177" s="56"/>
    </x:row>
    <x:row r="178">
      <x:c r="A178" s="56"/>
      <x:c r="B178" s="56"/>
      <x:c r="C178" s="64"/>
      <x:c r="D178" s="56"/>
    </x:row>
    <x:row r="179">
      <x:c r="A179" s="56"/>
      <x:c r="B179" s="56"/>
      <x:c r="C179" s="64"/>
      <x:c r="D179" s="56"/>
    </x:row>
    <x:row r="180">
      <x:c r="A180" s="56"/>
      <x:c r="B180" s="56"/>
      <x:c r="C180" s="64"/>
      <x:c r="D180" s="56"/>
    </x:row>
    <x:row r="181">
      <x:c r="A181" s="56"/>
      <x:c r="B181" s="56"/>
      <x:c r="C181" s="64"/>
      <x:c r="D181" s="56"/>
    </x:row>
    <x:row r="182">
      <x:c r="A182" s="56"/>
      <x:c r="B182" s="56"/>
      <x:c r="C182" s="64"/>
      <x:c r="D182" s="56"/>
    </x:row>
    <x:row r="183">
      <x:c r="A183" s="56"/>
      <x:c r="B183" s="56"/>
      <x:c r="C183" s="64"/>
      <x:c r="D183" s="56"/>
    </x:row>
    <x:row r="184">
      <x:c r="A184" s="56"/>
      <x:c r="B184" s="56"/>
      <x:c r="C184" s="64"/>
      <x:c r="D184" s="56"/>
    </x:row>
    <x:row r="185">
      <x:c r="A185" s="56"/>
      <x:c r="B185" s="56"/>
      <x:c r="C185" s="64"/>
      <x:c r="D185" s="56"/>
    </x:row>
    <x:row r="186">
      <x:c r="A186" s="56"/>
      <x:c r="B186" s="56"/>
      <x:c r="C186" s="64"/>
      <x:c r="D186" s="56"/>
    </x:row>
    <x:row r="187">
      <x:c r="A187" s="56"/>
      <x:c r="B187" s="56"/>
      <x:c r="C187" s="64"/>
      <x:c r="D187" s="56"/>
    </x:row>
    <x:row r="188">
      <x:c r="A188" s="56"/>
      <x:c r="B188" s="56"/>
      <x:c r="C188" s="64"/>
      <x:c r="D188" s="56"/>
    </x:row>
    <x:row r="189">
      <x:c r="A189" s="56"/>
      <x:c r="B189" s="56"/>
      <x:c r="C189" s="64"/>
      <x:c r="D189" s="56"/>
    </x:row>
    <x:row r="190">
      <x:c r="A190" s="56"/>
      <x:c r="B190" s="56"/>
      <x:c r="C190" s="64"/>
      <x:c r="D190" s="56"/>
    </x:row>
    <x:row r="191">
      <x:c r="A191" s="56"/>
      <x:c r="B191" s="56"/>
      <x:c r="C191" s="64"/>
      <x:c r="D191" s="56"/>
    </x:row>
    <x:row r="192">
      <x:c r="A192" s="56"/>
      <x:c r="B192" s="56"/>
      <x:c r="C192" s="64"/>
      <x:c r="D192" s="56"/>
    </x:row>
    <x:row r="193">
      <x:c r="A193" s="56"/>
      <x:c r="B193" s="56"/>
      <x:c r="C193" s="64"/>
      <x:c r="D193" s="56"/>
    </x:row>
    <x:row r="194">
      <x:c r="A194" s="56"/>
      <x:c r="B194" s="56"/>
      <x:c r="C194" s="64"/>
      <x:c r="D194" s="56"/>
    </x:row>
    <x:row r="195">
      <x:c r="A195" s="56"/>
      <x:c r="B195" s="56"/>
      <x:c r="C195" s="64"/>
      <x:c r="D195" s="56"/>
    </x:row>
    <x:row r="196">
      <x:c r="A196" s="56"/>
      <x:c r="B196" s="56"/>
      <x:c r="C196" s="64"/>
      <x:c r="D196" s="56"/>
    </x:row>
    <x:row r="197">
      <x:c r="A197" s="56"/>
      <x:c r="B197" s="56"/>
      <x:c r="C197" s="64"/>
      <x:c r="D197" s="56"/>
    </x:row>
    <x:row r="198">
      <x:c r="A198" s="56"/>
      <x:c r="B198" s="56"/>
      <x:c r="C198" s="64"/>
      <x:c r="D198" s="56"/>
    </x:row>
    <x:row r="199">
      <x:c r="A199" s="56"/>
      <x:c r="B199" s="56"/>
      <x:c r="C199" s="64"/>
      <x:c r="D199" s="56"/>
    </x:row>
    <x:row r="200">
      <x:c r="A200" s="56"/>
      <x:c r="B200" s="56"/>
      <x:c r="C200" s="64"/>
      <x:c r="D200" s="56"/>
    </x:row>
    <x:row r="201">
      <x:c r="A201" s="56"/>
      <x:c r="B201" s="56"/>
      <x:c r="C201" s="64"/>
      <x:c r="D201" s="56"/>
    </x:row>
    <x:row r="202">
      <x:c r="A202" s="56"/>
      <x:c r="B202" s="56"/>
      <x:c r="C202" s="64"/>
      <x:c r="D202" s="56"/>
    </x:row>
    <x:row r="203">
      <x:c r="A203" s="56"/>
      <x:c r="B203" s="56"/>
      <x:c r="C203" s="64"/>
      <x:c r="D203" s="56"/>
    </x:row>
    <x:row r="204">
      <x:c r="A204" s="56"/>
      <x:c r="B204" s="56"/>
      <x:c r="C204" s="64"/>
      <x:c r="D204" s="56"/>
    </x:row>
  </x:sheetData>
  <x:dataValidations count="1">
    <x:dataValidation type="list" allowBlank="1" showDropDown="0" sqref="A5:A204">
      <x:formula1>'07_예산분류'!$A$5:$A$204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980000019073486" hidden="0" customWidth="1"/>
    <x:col min="2" max="2" width="26.3799991607666" hidden="0" customWidth="1"/>
    <x:col min="3" max="3" width="14.109999656677246" hidden="0" customWidth="1"/>
    <x:col min="4" max="4" width="38.650001525878906" hidden="0" customWidth="1"/>
    <x:col min="5" max="5" width="14.109999656677246" hidden="0" customWidth="1"/>
    <x:col min="6" max="6" width="10.430000305175781" hidden="0" customWidth="1"/>
    <x:col min="7" max="7" width="12.880000114440918" hidden="0" customWidth="1"/>
    <x:col min="8" max="8" width="21.469999313354492" hidden="0" customWidth="1"/>
    <x:col min="9" max="9" width="11.65999984741211" hidden="0" customWidth="1"/>
    <x:col min="10" max="10" width="15.34000015258789" hidden="0" customWidth="1"/>
    <x:col min="11" max="11" width="15.34000015258789" hidden="0" customWidth="1"/>
    <x:col min="12" max="12" width="12.880000114440918" hidden="0" customWidth="1"/>
    <x:col min="13" max="13" width="12.880000114440918" hidden="0" customWidth="1"/>
    <x:col min="14" max="14" width="15.34000015258789" hidden="0" customWidth="1"/>
    <x:col min="15" max="15" width="16.559999465942383" hidden="0" customWidth="1"/>
    <x:col min="16" max="16" width="12.880000114440918" hidden="0" customWidth="1"/>
    <x:col min="17" max="17" width="11.65999984741211" hidden="0" customWidth="1"/>
    <x:col min="18" max="18" width="15.34000015258789" hidden="0" customWidth="1"/>
    <x:col min="19" max="19" width="14.109999656677246" hidden="0" customWidth="1"/>
    <x:col min="20" max="20" width="16.559999465942383" hidden="0" customWidth="1"/>
    <x:col min="21" max="21" width="15.34000015258789" hidden="0" customWidth="1"/>
    <x:col min="22" max="22" width="15.34000015258789" hidden="0" customWidth="1"/>
    <x:col min="23" max="23" width="50.91999816894531" hidden="0" customWidth="1"/>
  </x:cols>
  <x:sheetData>
    <x:row r="1">
      <x:c r="A1" s="49" t="str">
        <x:v>웨딩홀</x:v>
      </x:c>
      <x:c r="B1" s="50"/>
      <x:c r="C1" s="50"/>
      <x:c r="D1" s="50"/>
      <x:c r="E1" s="50"/>
      <x:c r="F1" s="50"/>
      <x:c r="G1" s="50"/>
      <x:c r="H1" s="50"/>
      <x:c r="I1" s="50"/>
      <x:c r="J1" s="50"/>
      <x:c r="K1" s="50"/>
      <x:c r="L1" s="50"/>
      <x:c r="M1" s="50"/>
      <x:c r="N1" s="50"/>
      <x:c r="O1" s="50"/>
      <x:c r="P1" s="50"/>
      <x:c r="Q1" s="50"/>
      <x:c r="R1" s="50"/>
      <x:c r="S1" s="50"/>
      <x:c r="T1" s="50"/>
      <x:c r="U1" s="50"/>
      <x:c r="V1" s="50"/>
      <x:c r="W1" s="50"/>
    </x:row>
    <x:row r="2">
      <x:c r="A2" s="49" t="str">
        <x:v>웨딩홀 후보의 위치, 비용, 조건을 비교합니다.</x:v>
      </x:c>
      <x:c r="B2" s="50"/>
      <x:c r="C2" s="50"/>
      <x:c r="D2" s="50"/>
      <x:c r="E2" s="50"/>
      <x:c r="F2" s="50"/>
      <x:c r="G2" s="50"/>
      <x:c r="H2" s="50"/>
      <x:c r="I2" s="50"/>
      <x:c r="J2" s="50"/>
      <x:c r="K2" s="50"/>
      <x:c r="L2" s="50"/>
      <x:c r="M2" s="50"/>
      <x:c r="N2" s="50"/>
      <x:c r="O2" s="50"/>
      <x:c r="P2" s="50"/>
      <x:c r="Q2" s="50"/>
      <x:c r="R2" s="50"/>
      <x:c r="S2" s="50"/>
      <x:c r="T2" s="50"/>
      <x:c r="U2" s="50"/>
      <x:c r="V2" s="50"/>
      <x:c r="W2" s="50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0"/>
      <x:c r="M3" s="50"/>
      <x:c r="N3" s="50"/>
      <x:c r="O3" s="50"/>
      <x:c r="P3" s="50"/>
      <x:c r="Q3" s="50"/>
      <x:c r="R3" s="50"/>
      <x:c r="S3" s="50"/>
      <x:c r="T3" s="50"/>
      <x:c r="U3" s="50"/>
      <x:c r="V3" s="50"/>
      <x:c r="W3" s="50"/>
    </x:row>
    <x:row r="4">
      <x:c r="A4" s="55" t="str">
        <x:v>순서</x:v>
      </x:c>
      <x:c r="B4" s="55" t="str">
        <x:v>예식장</x:v>
      </x:c>
      <x:c r="C4" s="55" t="str">
        <x:v>지역</x:v>
      </x:c>
      <x:c r="D4" s="55" t="str">
        <x:v>상세주소</x:v>
      </x:c>
      <x:c r="E4" s="55" t="str">
        <x:v>가까운역</x:v>
      </x:c>
      <x:c r="F4" s="55" t="str">
        <x:v>셔틀유무</x:v>
      </x:c>
      <x:c r="G4" s="55" t="str">
        <x:v>단독건물여부</x:v>
      </x:c>
      <x:c r="H4" s="55" t="str">
        <x:v>웨딩홀</x:v>
      </x:c>
      <x:c r="I4" s="55" t="str">
        <x:v>홀분위기</x:v>
      </x:c>
      <x:c r="J4" s="55" t="str">
        <x:v>대관료</x:v>
      </x:c>
      <x:c r="K4" s="55" t="str">
        <x:v>연출료</x:v>
      </x:c>
      <x:c r="L4" s="55" t="str">
        <x:v>최소인원</x:v>
      </x:c>
      <x:c r="M4" s="55" t="str">
        <x:v>최대인원</x:v>
      </x:c>
      <x:c r="N4" s="55" t="str">
        <x:v>식대</x:v>
      </x:c>
      <x:c r="O4" s="55" t="str">
        <x:v>식사종류</x:v>
      </x:c>
      <x:c r="P4" s="55" t="str">
        <x:v>웨딩형식</x:v>
      </x:c>
      <x:c r="Q4" s="55" t="str">
        <x:v>시간</x:v>
      </x:c>
      <x:c r="R4" s="55" t="str">
        <x:v>꽃금액</x:v>
      </x:c>
      <x:c r="S4" s="55" t="str">
        <x:v>주차</x:v>
      </x:c>
      <x:c r="T4" s="55" t="str">
        <x:v>주차비/시간</x:v>
      </x:c>
      <x:c r="U4" s="55" t="str">
        <x:v>최소금액</x:v>
      </x:c>
      <x:c r="V4" s="55" t="str">
        <x:v>최대금액</x:v>
      </x:c>
      <x:c r="W4" s="55" t="str">
        <x:v>비고</x:v>
      </x:c>
    </x:row>
    <x:row r="5">
      <x:c r="A5" s="56"/>
      <x:c r="B5" s="56"/>
      <x:c r="C5" s="56"/>
      <x:c r="D5" s="56"/>
      <x:c r="E5" s="56"/>
      <x:c r="F5" s="56"/>
      <x:c r="G5" s="56"/>
      <x:c r="H5" s="56"/>
      <x:c r="I5" s="56"/>
      <x:c r="J5" s="64"/>
      <x:c r="K5" s="64"/>
      <x:c r="L5" s="56"/>
      <x:c r="M5" s="56"/>
      <x:c r="N5" s="64"/>
      <x:c r="O5" s="56"/>
      <x:c r="P5" s="56"/>
      <x:c r="Q5" s="56"/>
      <x:c r="R5" s="64"/>
      <x:c r="S5" s="56"/>
      <x:c r="T5" s="56"/>
      <x:c r="U5" s="64"/>
      <x:c r="V5" s="64"/>
      <x:c r="W5" s="56"/>
    </x:row>
    <x:row r="6">
      <x:c r="A6" s="56"/>
      <x:c r="B6" s="56"/>
      <x:c r="C6" s="56"/>
      <x:c r="D6" s="56"/>
      <x:c r="E6" s="56"/>
      <x:c r="F6" s="56"/>
      <x:c r="G6" s="56"/>
      <x:c r="H6" s="56"/>
      <x:c r="I6" s="56"/>
      <x:c r="J6" s="64"/>
      <x:c r="K6" s="64"/>
      <x:c r="L6" s="56"/>
      <x:c r="M6" s="56"/>
      <x:c r="N6" s="64"/>
      <x:c r="O6" s="56"/>
      <x:c r="P6" s="56"/>
      <x:c r="Q6" s="56"/>
      <x:c r="R6" s="64"/>
      <x:c r="S6" s="56"/>
      <x:c r="T6" s="56"/>
      <x:c r="U6" s="64"/>
      <x:c r="V6" s="64"/>
      <x:c r="W6" s="56"/>
    </x:row>
    <x:row r="7">
      <x:c r="A7" s="56"/>
      <x:c r="B7" s="56"/>
      <x:c r="C7" s="56"/>
      <x:c r="D7" s="56"/>
      <x:c r="E7" s="56"/>
      <x:c r="F7" s="56"/>
      <x:c r="G7" s="56"/>
      <x:c r="H7" s="56"/>
      <x:c r="I7" s="56"/>
      <x:c r="J7" s="64"/>
      <x:c r="K7" s="64"/>
      <x:c r="L7" s="56"/>
      <x:c r="M7" s="56"/>
      <x:c r="N7" s="64"/>
      <x:c r="O7" s="56"/>
      <x:c r="P7" s="56"/>
      <x:c r="Q7" s="56"/>
      <x:c r="R7" s="64"/>
      <x:c r="S7" s="56"/>
      <x:c r="T7" s="56"/>
      <x:c r="U7" s="64"/>
      <x:c r="V7" s="64"/>
      <x:c r="W7" s="56"/>
    </x:row>
    <x:row r="8">
      <x:c r="A8" s="56"/>
      <x:c r="B8" s="56"/>
      <x:c r="C8" s="56"/>
      <x:c r="D8" s="56"/>
      <x:c r="E8" s="56"/>
      <x:c r="F8" s="56"/>
      <x:c r="G8" s="56"/>
      <x:c r="H8" s="56"/>
      <x:c r="I8" s="56"/>
      <x:c r="J8" s="64"/>
      <x:c r="K8" s="64"/>
      <x:c r="L8" s="56"/>
      <x:c r="M8" s="56"/>
      <x:c r="N8" s="64"/>
      <x:c r="O8" s="56"/>
      <x:c r="P8" s="56"/>
      <x:c r="Q8" s="56"/>
      <x:c r="R8" s="64"/>
      <x:c r="S8" s="56"/>
      <x:c r="T8" s="56"/>
      <x:c r="U8" s="64"/>
      <x:c r="V8" s="64"/>
      <x:c r="W8" s="56"/>
    </x:row>
    <x:row r="9">
      <x:c r="A9" s="56"/>
      <x:c r="B9" s="56"/>
      <x:c r="C9" s="56"/>
      <x:c r="D9" s="56"/>
      <x:c r="E9" s="56"/>
      <x:c r="F9" s="56"/>
      <x:c r="G9" s="56"/>
      <x:c r="H9" s="56"/>
      <x:c r="I9" s="56"/>
      <x:c r="J9" s="64"/>
      <x:c r="K9" s="64"/>
      <x:c r="L9" s="56"/>
      <x:c r="M9" s="56"/>
      <x:c r="N9" s="64"/>
      <x:c r="O9" s="56"/>
      <x:c r="P9" s="56"/>
      <x:c r="Q9" s="56"/>
      <x:c r="R9" s="64"/>
      <x:c r="S9" s="56"/>
      <x:c r="T9" s="56"/>
      <x:c r="U9" s="64"/>
      <x:c r="V9" s="64"/>
      <x:c r="W9" s="56"/>
    </x:row>
    <x:row r="10">
      <x:c r="A10" s="56"/>
      <x:c r="B10" s="56"/>
      <x:c r="C10" s="56"/>
      <x:c r="D10" s="56"/>
      <x:c r="E10" s="56"/>
      <x:c r="F10" s="56"/>
      <x:c r="G10" s="56"/>
      <x:c r="H10" s="56"/>
      <x:c r="I10" s="56"/>
      <x:c r="J10" s="64"/>
      <x:c r="K10" s="64"/>
      <x:c r="L10" s="56"/>
      <x:c r="M10" s="56"/>
      <x:c r="N10" s="64"/>
      <x:c r="O10" s="56"/>
      <x:c r="P10" s="56"/>
      <x:c r="Q10" s="56"/>
      <x:c r="R10" s="64"/>
      <x:c r="S10" s="56"/>
      <x:c r="T10" s="56"/>
      <x:c r="U10" s="64"/>
      <x:c r="V10" s="64"/>
      <x:c r="W10" s="56"/>
    </x:row>
    <x:row r="11">
      <x:c r="A11" s="56"/>
      <x:c r="B11" s="56"/>
      <x:c r="C11" s="56"/>
      <x:c r="D11" s="56"/>
      <x:c r="E11" s="56"/>
      <x:c r="F11" s="56"/>
      <x:c r="G11" s="56"/>
      <x:c r="H11" s="56"/>
      <x:c r="I11" s="56"/>
      <x:c r="J11" s="64"/>
      <x:c r="K11" s="64"/>
      <x:c r="L11" s="56"/>
      <x:c r="M11" s="56"/>
      <x:c r="N11" s="64"/>
      <x:c r="O11" s="56"/>
      <x:c r="P11" s="56"/>
      <x:c r="Q11" s="56"/>
      <x:c r="R11" s="64"/>
      <x:c r="S11" s="56"/>
      <x:c r="T11" s="56"/>
      <x:c r="U11" s="64"/>
      <x:c r="V11" s="64"/>
      <x:c r="W11" s="56"/>
    </x:row>
    <x:row r="12">
      <x:c r="A12" s="56"/>
      <x:c r="B12" s="56"/>
      <x:c r="C12" s="56"/>
      <x:c r="D12" s="56"/>
      <x:c r="E12" s="56"/>
      <x:c r="F12" s="56"/>
      <x:c r="G12" s="56"/>
      <x:c r="H12" s="56"/>
      <x:c r="I12" s="56"/>
      <x:c r="J12" s="64"/>
      <x:c r="K12" s="64"/>
      <x:c r="L12" s="56"/>
      <x:c r="M12" s="56"/>
      <x:c r="N12" s="64"/>
      <x:c r="O12" s="56"/>
      <x:c r="P12" s="56"/>
      <x:c r="Q12" s="56"/>
      <x:c r="R12" s="64"/>
      <x:c r="S12" s="56"/>
      <x:c r="T12" s="56"/>
      <x:c r="U12" s="64"/>
      <x:c r="V12" s="64"/>
      <x:c r="W12" s="56"/>
    </x:row>
    <x:row r="13">
      <x:c r="A13" s="56"/>
      <x:c r="B13" s="56"/>
      <x:c r="C13" s="56"/>
      <x:c r="D13" s="56"/>
      <x:c r="E13" s="56"/>
      <x:c r="F13" s="56"/>
      <x:c r="G13" s="56"/>
      <x:c r="H13" s="56"/>
      <x:c r="I13" s="56"/>
      <x:c r="J13" s="64"/>
      <x:c r="K13" s="64"/>
      <x:c r="L13" s="56"/>
      <x:c r="M13" s="56"/>
      <x:c r="N13" s="64"/>
      <x:c r="O13" s="56"/>
      <x:c r="P13" s="56"/>
      <x:c r="Q13" s="56"/>
      <x:c r="R13" s="64"/>
      <x:c r="S13" s="56"/>
      <x:c r="T13" s="56"/>
      <x:c r="U13" s="64"/>
      <x:c r="V13" s="64"/>
      <x:c r="W13" s="56"/>
    </x:row>
    <x:row r="14">
      <x:c r="A14" s="56"/>
      <x:c r="B14" s="56"/>
      <x:c r="C14" s="56"/>
      <x:c r="D14" s="56"/>
      <x:c r="E14" s="56"/>
      <x:c r="F14" s="56"/>
      <x:c r="G14" s="56"/>
      <x:c r="H14" s="56"/>
      <x:c r="I14" s="56"/>
      <x:c r="J14" s="64"/>
      <x:c r="K14" s="64"/>
      <x:c r="L14" s="56"/>
      <x:c r="M14" s="56"/>
      <x:c r="N14" s="64"/>
      <x:c r="O14" s="56"/>
      <x:c r="P14" s="56"/>
      <x:c r="Q14" s="56"/>
      <x:c r="R14" s="64"/>
      <x:c r="S14" s="56"/>
      <x:c r="T14" s="56"/>
      <x:c r="U14" s="64"/>
      <x:c r="V14" s="64"/>
      <x:c r="W14" s="56"/>
    </x:row>
    <x:row r="15">
      <x:c r="A15" s="56"/>
      <x:c r="B15" s="56"/>
      <x:c r="C15" s="56"/>
      <x:c r="D15" s="56"/>
      <x:c r="E15" s="56"/>
      <x:c r="F15" s="56"/>
      <x:c r="G15" s="56"/>
      <x:c r="H15" s="56"/>
      <x:c r="I15" s="56"/>
      <x:c r="J15" s="64"/>
      <x:c r="K15" s="64"/>
      <x:c r="L15" s="56"/>
      <x:c r="M15" s="56"/>
      <x:c r="N15" s="64"/>
      <x:c r="O15" s="56"/>
      <x:c r="P15" s="56"/>
      <x:c r="Q15" s="56"/>
      <x:c r="R15" s="64"/>
      <x:c r="S15" s="56"/>
      <x:c r="T15" s="56"/>
      <x:c r="U15" s="64"/>
      <x:c r="V15" s="64"/>
      <x:c r="W15" s="56"/>
    </x:row>
    <x:row r="16">
      <x:c r="A16" s="56"/>
      <x:c r="B16" s="56"/>
      <x:c r="C16" s="56"/>
      <x:c r="D16" s="56"/>
      <x:c r="E16" s="56"/>
      <x:c r="F16" s="56"/>
      <x:c r="G16" s="56"/>
      <x:c r="H16" s="56"/>
      <x:c r="I16" s="56"/>
      <x:c r="J16" s="64"/>
      <x:c r="K16" s="64"/>
      <x:c r="L16" s="56"/>
      <x:c r="M16" s="56"/>
      <x:c r="N16" s="64"/>
      <x:c r="O16" s="56"/>
      <x:c r="P16" s="56"/>
      <x:c r="Q16" s="56"/>
      <x:c r="R16" s="64"/>
      <x:c r="S16" s="56"/>
      <x:c r="T16" s="56"/>
      <x:c r="U16" s="64"/>
      <x:c r="V16" s="64"/>
      <x:c r="W16" s="56"/>
    </x:row>
    <x:row r="17">
      <x:c r="A17" s="56"/>
      <x:c r="B17" s="56"/>
      <x:c r="C17" s="56"/>
      <x:c r="D17" s="56"/>
      <x:c r="E17" s="56"/>
      <x:c r="F17" s="56"/>
      <x:c r="G17" s="56"/>
      <x:c r="H17" s="56"/>
      <x:c r="I17" s="56"/>
      <x:c r="J17" s="64"/>
      <x:c r="K17" s="64"/>
      <x:c r="L17" s="56"/>
      <x:c r="M17" s="56"/>
      <x:c r="N17" s="64"/>
      <x:c r="O17" s="56"/>
      <x:c r="P17" s="56"/>
      <x:c r="Q17" s="56"/>
      <x:c r="R17" s="64"/>
      <x:c r="S17" s="56"/>
      <x:c r="T17" s="56"/>
      <x:c r="U17" s="64"/>
      <x:c r="V17" s="64"/>
      <x:c r="W17" s="56"/>
    </x:row>
    <x:row r="18">
      <x:c r="A18" s="56"/>
      <x:c r="B18" s="56"/>
      <x:c r="C18" s="56"/>
      <x:c r="D18" s="56"/>
      <x:c r="E18" s="56"/>
      <x:c r="F18" s="56"/>
      <x:c r="G18" s="56"/>
      <x:c r="H18" s="56"/>
      <x:c r="I18" s="56"/>
      <x:c r="J18" s="64"/>
      <x:c r="K18" s="64"/>
      <x:c r="L18" s="56"/>
      <x:c r="M18" s="56"/>
      <x:c r="N18" s="64"/>
      <x:c r="O18" s="56"/>
      <x:c r="P18" s="56"/>
      <x:c r="Q18" s="56"/>
      <x:c r="R18" s="64"/>
      <x:c r="S18" s="56"/>
      <x:c r="T18" s="56"/>
      <x:c r="U18" s="64"/>
      <x:c r="V18" s="64"/>
      <x:c r="W18" s="56"/>
    </x:row>
    <x:row r="19">
      <x:c r="A19" s="56"/>
      <x:c r="B19" s="56"/>
      <x:c r="C19" s="56"/>
      <x:c r="D19" s="56"/>
      <x:c r="E19" s="56"/>
      <x:c r="F19" s="56"/>
      <x:c r="G19" s="56"/>
      <x:c r="H19" s="56"/>
      <x:c r="I19" s="56"/>
      <x:c r="J19" s="64"/>
      <x:c r="K19" s="64"/>
      <x:c r="L19" s="56"/>
      <x:c r="M19" s="56"/>
      <x:c r="N19" s="64"/>
      <x:c r="O19" s="56"/>
      <x:c r="P19" s="56"/>
      <x:c r="Q19" s="56"/>
      <x:c r="R19" s="64"/>
      <x:c r="S19" s="56"/>
      <x:c r="T19" s="56"/>
      <x:c r="U19" s="64"/>
      <x:c r="V19" s="64"/>
      <x:c r="W19" s="56"/>
    </x:row>
    <x:row r="20">
      <x:c r="A20" s="56"/>
      <x:c r="B20" s="56"/>
      <x:c r="C20" s="56"/>
      <x:c r="D20" s="56"/>
      <x:c r="E20" s="56"/>
      <x:c r="F20" s="56"/>
      <x:c r="G20" s="56"/>
      <x:c r="H20" s="56"/>
      <x:c r="I20" s="56"/>
      <x:c r="J20" s="64"/>
      <x:c r="K20" s="64"/>
      <x:c r="L20" s="56"/>
      <x:c r="M20" s="56"/>
      <x:c r="N20" s="64"/>
      <x:c r="O20" s="56"/>
      <x:c r="P20" s="56"/>
      <x:c r="Q20" s="56"/>
      <x:c r="R20" s="64"/>
      <x:c r="S20" s="56"/>
      <x:c r="T20" s="56"/>
      <x:c r="U20" s="64"/>
      <x:c r="V20" s="64"/>
      <x:c r="W20" s="56"/>
    </x:row>
    <x:row r="21">
      <x:c r="A21" s="56"/>
      <x:c r="B21" s="56"/>
      <x:c r="C21" s="56"/>
      <x:c r="D21" s="56"/>
      <x:c r="E21" s="56"/>
      <x:c r="F21" s="56"/>
      <x:c r="G21" s="56"/>
      <x:c r="H21" s="56"/>
      <x:c r="I21" s="56"/>
      <x:c r="J21" s="64"/>
      <x:c r="K21" s="64"/>
      <x:c r="L21" s="56"/>
      <x:c r="M21" s="56"/>
      <x:c r="N21" s="64"/>
      <x:c r="O21" s="56"/>
      <x:c r="P21" s="56"/>
      <x:c r="Q21" s="56"/>
      <x:c r="R21" s="64"/>
      <x:c r="S21" s="56"/>
      <x:c r="T21" s="56"/>
      <x:c r="U21" s="64"/>
      <x:c r="V21" s="64"/>
      <x:c r="W21" s="56"/>
    </x:row>
    <x:row r="22">
      <x:c r="A22" s="56"/>
      <x:c r="B22" s="56"/>
      <x:c r="C22" s="56"/>
      <x:c r="D22" s="56"/>
      <x:c r="E22" s="56"/>
      <x:c r="F22" s="56"/>
      <x:c r="G22" s="56"/>
      <x:c r="H22" s="56"/>
      <x:c r="I22" s="56"/>
      <x:c r="J22" s="64"/>
      <x:c r="K22" s="64"/>
      <x:c r="L22" s="56"/>
      <x:c r="M22" s="56"/>
      <x:c r="N22" s="64"/>
      <x:c r="O22" s="56"/>
      <x:c r="P22" s="56"/>
      <x:c r="Q22" s="56"/>
      <x:c r="R22" s="64"/>
      <x:c r="S22" s="56"/>
      <x:c r="T22" s="56"/>
      <x:c r="U22" s="64"/>
      <x:c r="V22" s="64"/>
      <x:c r="W22" s="56"/>
    </x:row>
    <x:row r="23">
      <x:c r="A23" s="56"/>
      <x:c r="B23" s="56"/>
      <x:c r="C23" s="56"/>
      <x:c r="D23" s="56"/>
      <x:c r="E23" s="56"/>
      <x:c r="F23" s="56"/>
      <x:c r="G23" s="56"/>
      <x:c r="H23" s="56"/>
      <x:c r="I23" s="56"/>
      <x:c r="J23" s="64"/>
      <x:c r="K23" s="64"/>
      <x:c r="L23" s="56"/>
      <x:c r="M23" s="56"/>
      <x:c r="N23" s="64"/>
      <x:c r="O23" s="56"/>
      <x:c r="P23" s="56"/>
      <x:c r="Q23" s="56"/>
      <x:c r="R23" s="64"/>
      <x:c r="S23" s="56"/>
      <x:c r="T23" s="56"/>
      <x:c r="U23" s="64"/>
      <x:c r="V23" s="64"/>
      <x:c r="W23" s="56"/>
    </x:row>
    <x:row r="24">
      <x:c r="A24" s="56"/>
      <x:c r="B24" s="56"/>
      <x:c r="C24" s="56"/>
      <x:c r="D24" s="56"/>
      <x:c r="E24" s="56"/>
      <x:c r="F24" s="56"/>
      <x:c r="G24" s="56"/>
      <x:c r="H24" s="56"/>
      <x:c r="I24" s="56"/>
      <x:c r="J24" s="64"/>
      <x:c r="K24" s="64"/>
      <x:c r="L24" s="56"/>
      <x:c r="M24" s="56"/>
      <x:c r="N24" s="64"/>
      <x:c r="O24" s="56"/>
      <x:c r="P24" s="56"/>
      <x:c r="Q24" s="56"/>
      <x:c r="R24" s="64"/>
      <x:c r="S24" s="56"/>
      <x:c r="T24" s="56"/>
      <x:c r="U24" s="64"/>
      <x:c r="V24" s="64"/>
      <x:c r="W24" s="56"/>
    </x:row>
    <x:row r="25">
      <x:c r="A25" s="56"/>
      <x:c r="B25" s="56"/>
      <x:c r="C25" s="56"/>
      <x:c r="D25" s="56"/>
      <x:c r="E25" s="56"/>
      <x:c r="F25" s="56"/>
      <x:c r="G25" s="56"/>
      <x:c r="H25" s="56"/>
      <x:c r="I25" s="56"/>
      <x:c r="J25" s="64"/>
      <x:c r="K25" s="64"/>
      <x:c r="L25" s="56"/>
      <x:c r="M25" s="56"/>
      <x:c r="N25" s="64"/>
      <x:c r="O25" s="56"/>
      <x:c r="P25" s="56"/>
      <x:c r="Q25" s="56"/>
      <x:c r="R25" s="64"/>
      <x:c r="S25" s="56"/>
      <x:c r="T25" s="56"/>
      <x:c r="U25" s="64"/>
      <x:c r="V25" s="64"/>
      <x:c r="W25" s="56"/>
    </x:row>
    <x:row r="26">
      <x:c r="A26" s="56"/>
      <x:c r="B26" s="56"/>
      <x:c r="C26" s="56"/>
      <x:c r="D26" s="56"/>
      <x:c r="E26" s="56"/>
      <x:c r="F26" s="56"/>
      <x:c r="G26" s="56"/>
      <x:c r="H26" s="56"/>
      <x:c r="I26" s="56"/>
      <x:c r="J26" s="64"/>
      <x:c r="K26" s="64"/>
      <x:c r="L26" s="56"/>
      <x:c r="M26" s="56"/>
      <x:c r="N26" s="64"/>
      <x:c r="O26" s="56"/>
      <x:c r="P26" s="56"/>
      <x:c r="Q26" s="56"/>
      <x:c r="R26" s="64"/>
      <x:c r="S26" s="56"/>
      <x:c r="T26" s="56"/>
      <x:c r="U26" s="64"/>
      <x:c r="V26" s="64"/>
      <x:c r="W26" s="56"/>
    </x:row>
    <x:row r="27">
      <x:c r="A27" s="56"/>
      <x:c r="B27" s="56"/>
      <x:c r="C27" s="56"/>
      <x:c r="D27" s="56"/>
      <x:c r="E27" s="56"/>
      <x:c r="F27" s="56"/>
      <x:c r="G27" s="56"/>
      <x:c r="H27" s="56"/>
      <x:c r="I27" s="56"/>
      <x:c r="J27" s="64"/>
      <x:c r="K27" s="64"/>
      <x:c r="L27" s="56"/>
      <x:c r="M27" s="56"/>
      <x:c r="N27" s="64"/>
      <x:c r="O27" s="56"/>
      <x:c r="P27" s="56"/>
      <x:c r="Q27" s="56"/>
      <x:c r="R27" s="64"/>
      <x:c r="S27" s="56"/>
      <x:c r="T27" s="56"/>
      <x:c r="U27" s="64"/>
      <x:c r="V27" s="64"/>
      <x:c r="W27" s="56"/>
    </x:row>
    <x:row r="28">
      <x:c r="A28" s="56"/>
      <x:c r="B28" s="56"/>
      <x:c r="C28" s="56"/>
      <x:c r="D28" s="56"/>
      <x:c r="E28" s="56"/>
      <x:c r="F28" s="56"/>
      <x:c r="G28" s="56"/>
      <x:c r="H28" s="56"/>
      <x:c r="I28" s="56"/>
      <x:c r="J28" s="64"/>
      <x:c r="K28" s="64"/>
      <x:c r="L28" s="56"/>
      <x:c r="M28" s="56"/>
      <x:c r="N28" s="64"/>
      <x:c r="O28" s="56"/>
      <x:c r="P28" s="56"/>
      <x:c r="Q28" s="56"/>
      <x:c r="R28" s="64"/>
      <x:c r="S28" s="56"/>
      <x:c r="T28" s="56"/>
      <x:c r="U28" s="64"/>
      <x:c r="V28" s="64"/>
      <x:c r="W28" s="56"/>
    </x:row>
    <x:row r="29">
      <x:c r="A29" s="56"/>
      <x:c r="B29" s="56"/>
      <x:c r="C29" s="56"/>
      <x:c r="D29" s="56"/>
      <x:c r="E29" s="56"/>
      <x:c r="F29" s="56"/>
      <x:c r="G29" s="56"/>
      <x:c r="H29" s="56"/>
      <x:c r="I29" s="56"/>
      <x:c r="J29" s="64"/>
      <x:c r="K29" s="64"/>
      <x:c r="L29" s="56"/>
      <x:c r="M29" s="56"/>
      <x:c r="N29" s="64"/>
      <x:c r="O29" s="56"/>
      <x:c r="P29" s="56"/>
      <x:c r="Q29" s="56"/>
      <x:c r="R29" s="64"/>
      <x:c r="S29" s="56"/>
      <x:c r="T29" s="56"/>
      <x:c r="U29" s="64"/>
      <x:c r="V29" s="64"/>
      <x:c r="W29" s="56"/>
    </x:row>
    <x:row r="30">
      <x:c r="A30" s="56"/>
      <x:c r="B30" s="56"/>
      <x:c r="C30" s="56"/>
      <x:c r="D30" s="56"/>
      <x:c r="E30" s="56"/>
      <x:c r="F30" s="56"/>
      <x:c r="G30" s="56"/>
      <x:c r="H30" s="56"/>
      <x:c r="I30" s="56"/>
      <x:c r="J30" s="64"/>
      <x:c r="K30" s="64"/>
      <x:c r="L30" s="56"/>
      <x:c r="M30" s="56"/>
      <x:c r="N30" s="64"/>
      <x:c r="O30" s="56"/>
      <x:c r="P30" s="56"/>
      <x:c r="Q30" s="56"/>
      <x:c r="R30" s="64"/>
      <x:c r="S30" s="56"/>
      <x:c r="T30" s="56"/>
      <x:c r="U30" s="64"/>
      <x:c r="V30" s="64"/>
      <x:c r="W30" s="56"/>
    </x:row>
    <x:row r="31">
      <x:c r="A31" s="56"/>
      <x:c r="B31" s="56"/>
      <x:c r="C31" s="56"/>
      <x:c r="D31" s="56"/>
      <x:c r="E31" s="56"/>
      <x:c r="F31" s="56"/>
      <x:c r="G31" s="56"/>
      <x:c r="H31" s="56"/>
      <x:c r="I31" s="56"/>
      <x:c r="J31" s="64"/>
      <x:c r="K31" s="64"/>
      <x:c r="L31" s="56"/>
      <x:c r="M31" s="56"/>
      <x:c r="N31" s="64"/>
      <x:c r="O31" s="56"/>
      <x:c r="P31" s="56"/>
      <x:c r="Q31" s="56"/>
      <x:c r="R31" s="64"/>
      <x:c r="S31" s="56"/>
      <x:c r="T31" s="56"/>
      <x:c r="U31" s="64"/>
      <x:c r="V31" s="64"/>
      <x:c r="W31" s="56"/>
    </x:row>
    <x:row r="32">
      <x:c r="A32" s="56"/>
      <x:c r="B32" s="56"/>
      <x:c r="C32" s="56"/>
      <x:c r="D32" s="56"/>
      <x:c r="E32" s="56"/>
      <x:c r="F32" s="56"/>
      <x:c r="G32" s="56"/>
      <x:c r="H32" s="56"/>
      <x:c r="I32" s="56"/>
      <x:c r="J32" s="64"/>
      <x:c r="K32" s="64"/>
      <x:c r="L32" s="56"/>
      <x:c r="M32" s="56"/>
      <x:c r="N32" s="64"/>
      <x:c r="O32" s="56"/>
      <x:c r="P32" s="56"/>
      <x:c r="Q32" s="56"/>
      <x:c r="R32" s="64"/>
      <x:c r="S32" s="56"/>
      <x:c r="T32" s="56"/>
      <x:c r="U32" s="64"/>
      <x:c r="V32" s="64"/>
      <x:c r="W32" s="56"/>
    </x:row>
    <x:row r="33">
      <x:c r="A33" s="56"/>
      <x:c r="B33" s="56"/>
      <x:c r="C33" s="56"/>
      <x:c r="D33" s="56"/>
      <x:c r="E33" s="56"/>
      <x:c r="F33" s="56"/>
      <x:c r="G33" s="56"/>
      <x:c r="H33" s="56"/>
      <x:c r="I33" s="56"/>
      <x:c r="J33" s="64"/>
      <x:c r="K33" s="64"/>
      <x:c r="L33" s="56"/>
      <x:c r="M33" s="56"/>
      <x:c r="N33" s="64"/>
      <x:c r="O33" s="56"/>
      <x:c r="P33" s="56"/>
      <x:c r="Q33" s="56"/>
      <x:c r="R33" s="64"/>
      <x:c r="S33" s="56"/>
      <x:c r="T33" s="56"/>
      <x:c r="U33" s="64"/>
      <x:c r="V33" s="64"/>
      <x:c r="W33" s="56"/>
    </x:row>
    <x:row r="34">
      <x:c r="A34" s="56"/>
      <x:c r="B34" s="56"/>
      <x:c r="C34" s="56"/>
      <x:c r="D34" s="56"/>
      <x:c r="E34" s="56"/>
      <x:c r="F34" s="56"/>
      <x:c r="G34" s="56"/>
      <x:c r="H34" s="56"/>
      <x:c r="I34" s="56"/>
      <x:c r="J34" s="64"/>
      <x:c r="K34" s="64"/>
      <x:c r="L34" s="56"/>
      <x:c r="M34" s="56"/>
      <x:c r="N34" s="64"/>
      <x:c r="O34" s="56"/>
      <x:c r="P34" s="56"/>
      <x:c r="Q34" s="56"/>
      <x:c r="R34" s="64"/>
      <x:c r="S34" s="56"/>
      <x:c r="T34" s="56"/>
      <x:c r="U34" s="64"/>
      <x:c r="V34" s="64"/>
      <x:c r="W34" s="56"/>
    </x:row>
    <x:row r="35">
      <x:c r="A35" s="56"/>
      <x:c r="B35" s="56"/>
      <x:c r="C35" s="56"/>
      <x:c r="D35" s="56"/>
      <x:c r="E35" s="56"/>
      <x:c r="F35" s="56"/>
      <x:c r="G35" s="56"/>
      <x:c r="H35" s="56"/>
      <x:c r="I35" s="56"/>
      <x:c r="J35" s="64"/>
      <x:c r="K35" s="64"/>
      <x:c r="L35" s="56"/>
      <x:c r="M35" s="56"/>
      <x:c r="N35" s="64"/>
      <x:c r="O35" s="56"/>
      <x:c r="P35" s="56"/>
      <x:c r="Q35" s="56"/>
      <x:c r="R35" s="64"/>
      <x:c r="S35" s="56"/>
      <x:c r="T35" s="56"/>
      <x:c r="U35" s="64"/>
      <x:c r="V35" s="64"/>
      <x:c r="W35" s="56"/>
    </x:row>
    <x:row r="36">
      <x:c r="A36" s="56"/>
      <x:c r="B36" s="56"/>
      <x:c r="C36" s="56"/>
      <x:c r="D36" s="56"/>
      <x:c r="E36" s="56"/>
      <x:c r="F36" s="56"/>
      <x:c r="G36" s="56"/>
      <x:c r="H36" s="56"/>
      <x:c r="I36" s="56"/>
      <x:c r="J36" s="64"/>
      <x:c r="K36" s="64"/>
      <x:c r="L36" s="56"/>
      <x:c r="M36" s="56"/>
      <x:c r="N36" s="64"/>
      <x:c r="O36" s="56"/>
      <x:c r="P36" s="56"/>
      <x:c r="Q36" s="56"/>
      <x:c r="R36" s="64"/>
      <x:c r="S36" s="56"/>
      <x:c r="T36" s="56"/>
      <x:c r="U36" s="64"/>
      <x:c r="V36" s="64"/>
      <x:c r="W36" s="56"/>
    </x:row>
    <x:row r="37">
      <x:c r="A37" s="56"/>
      <x:c r="B37" s="56"/>
      <x:c r="C37" s="56"/>
      <x:c r="D37" s="56"/>
      <x:c r="E37" s="56"/>
      <x:c r="F37" s="56"/>
      <x:c r="G37" s="56"/>
      <x:c r="H37" s="56"/>
      <x:c r="I37" s="56"/>
      <x:c r="J37" s="64"/>
      <x:c r="K37" s="64"/>
      <x:c r="L37" s="56"/>
      <x:c r="M37" s="56"/>
      <x:c r="N37" s="64"/>
      <x:c r="O37" s="56"/>
      <x:c r="P37" s="56"/>
      <x:c r="Q37" s="56"/>
      <x:c r="R37" s="64"/>
      <x:c r="S37" s="56"/>
      <x:c r="T37" s="56"/>
      <x:c r="U37" s="64"/>
      <x:c r="V37" s="64"/>
      <x:c r="W37" s="56"/>
    </x:row>
    <x:row r="38">
      <x:c r="A38" s="56"/>
      <x:c r="B38" s="56"/>
      <x:c r="C38" s="56"/>
      <x:c r="D38" s="56"/>
      <x:c r="E38" s="56"/>
      <x:c r="F38" s="56"/>
      <x:c r="G38" s="56"/>
      <x:c r="H38" s="56"/>
      <x:c r="I38" s="56"/>
      <x:c r="J38" s="64"/>
      <x:c r="K38" s="64"/>
      <x:c r="L38" s="56"/>
      <x:c r="M38" s="56"/>
      <x:c r="N38" s="64"/>
      <x:c r="O38" s="56"/>
      <x:c r="P38" s="56"/>
      <x:c r="Q38" s="56"/>
      <x:c r="R38" s="64"/>
      <x:c r="S38" s="56"/>
      <x:c r="T38" s="56"/>
      <x:c r="U38" s="64"/>
      <x:c r="V38" s="64"/>
      <x:c r="W38" s="56"/>
    </x:row>
    <x:row r="39">
      <x:c r="A39" s="56"/>
      <x:c r="B39" s="56"/>
      <x:c r="C39" s="56"/>
      <x:c r="D39" s="56"/>
      <x:c r="E39" s="56"/>
      <x:c r="F39" s="56"/>
      <x:c r="G39" s="56"/>
      <x:c r="H39" s="56"/>
      <x:c r="I39" s="56"/>
      <x:c r="J39" s="64"/>
      <x:c r="K39" s="64"/>
      <x:c r="L39" s="56"/>
      <x:c r="M39" s="56"/>
      <x:c r="N39" s="64"/>
      <x:c r="O39" s="56"/>
      <x:c r="P39" s="56"/>
      <x:c r="Q39" s="56"/>
      <x:c r="R39" s="64"/>
      <x:c r="S39" s="56"/>
      <x:c r="T39" s="56"/>
      <x:c r="U39" s="64"/>
      <x:c r="V39" s="64"/>
      <x:c r="W39" s="56"/>
    </x:row>
    <x:row r="40">
      <x:c r="A40" s="56"/>
      <x:c r="B40" s="56"/>
      <x:c r="C40" s="56"/>
      <x:c r="D40" s="56"/>
      <x:c r="E40" s="56"/>
      <x:c r="F40" s="56"/>
      <x:c r="G40" s="56"/>
      <x:c r="H40" s="56"/>
      <x:c r="I40" s="56"/>
      <x:c r="J40" s="64"/>
      <x:c r="K40" s="64"/>
      <x:c r="L40" s="56"/>
      <x:c r="M40" s="56"/>
      <x:c r="N40" s="64"/>
      <x:c r="O40" s="56"/>
      <x:c r="P40" s="56"/>
      <x:c r="Q40" s="56"/>
      <x:c r="R40" s="64"/>
      <x:c r="S40" s="56"/>
      <x:c r="T40" s="56"/>
      <x:c r="U40" s="64"/>
      <x:c r="V40" s="64"/>
      <x:c r="W40" s="56"/>
    </x:row>
    <x:row r="41">
      <x:c r="A41" s="56"/>
      <x:c r="B41" s="56"/>
      <x:c r="C41" s="56"/>
      <x:c r="D41" s="56"/>
      <x:c r="E41" s="56"/>
      <x:c r="F41" s="56"/>
      <x:c r="G41" s="56"/>
      <x:c r="H41" s="56"/>
      <x:c r="I41" s="56"/>
      <x:c r="J41" s="64"/>
      <x:c r="K41" s="64"/>
      <x:c r="L41" s="56"/>
      <x:c r="M41" s="56"/>
      <x:c r="N41" s="64"/>
      <x:c r="O41" s="56"/>
      <x:c r="P41" s="56"/>
      <x:c r="Q41" s="56"/>
      <x:c r="R41" s="64"/>
      <x:c r="S41" s="56"/>
      <x:c r="T41" s="56"/>
      <x:c r="U41" s="64"/>
      <x:c r="V41" s="64"/>
      <x:c r="W41" s="56"/>
    </x:row>
    <x:row r="42">
      <x:c r="A42" s="56"/>
      <x:c r="B42" s="56"/>
      <x:c r="C42" s="56"/>
      <x:c r="D42" s="56"/>
      <x:c r="E42" s="56"/>
      <x:c r="F42" s="56"/>
      <x:c r="G42" s="56"/>
      <x:c r="H42" s="56"/>
      <x:c r="I42" s="56"/>
      <x:c r="J42" s="64"/>
      <x:c r="K42" s="64"/>
      <x:c r="L42" s="56"/>
      <x:c r="M42" s="56"/>
      <x:c r="N42" s="64"/>
      <x:c r="O42" s="56"/>
      <x:c r="P42" s="56"/>
      <x:c r="Q42" s="56"/>
      <x:c r="R42" s="64"/>
      <x:c r="S42" s="56"/>
      <x:c r="T42" s="56"/>
      <x:c r="U42" s="64"/>
      <x:c r="V42" s="64"/>
      <x:c r="W42" s="56"/>
    </x:row>
    <x:row r="43">
      <x:c r="A43" s="56"/>
      <x:c r="B43" s="56"/>
      <x:c r="C43" s="56"/>
      <x:c r="D43" s="56"/>
      <x:c r="E43" s="56"/>
      <x:c r="F43" s="56"/>
      <x:c r="G43" s="56"/>
      <x:c r="H43" s="56"/>
      <x:c r="I43" s="56"/>
      <x:c r="J43" s="64"/>
      <x:c r="K43" s="64"/>
      <x:c r="L43" s="56"/>
      <x:c r="M43" s="56"/>
      <x:c r="N43" s="64"/>
      <x:c r="O43" s="56"/>
      <x:c r="P43" s="56"/>
      <x:c r="Q43" s="56"/>
      <x:c r="R43" s="64"/>
      <x:c r="S43" s="56"/>
      <x:c r="T43" s="56"/>
      <x:c r="U43" s="64"/>
      <x:c r="V43" s="64"/>
      <x:c r="W43" s="56"/>
    </x:row>
    <x:row r="44">
      <x:c r="A44" s="56"/>
      <x:c r="B44" s="56"/>
      <x:c r="C44" s="56"/>
      <x:c r="D44" s="56"/>
      <x:c r="E44" s="56"/>
      <x:c r="F44" s="56"/>
      <x:c r="G44" s="56"/>
      <x:c r="H44" s="56"/>
      <x:c r="I44" s="56"/>
      <x:c r="J44" s="64"/>
      <x:c r="K44" s="64"/>
      <x:c r="L44" s="56"/>
      <x:c r="M44" s="56"/>
      <x:c r="N44" s="64"/>
      <x:c r="O44" s="56"/>
      <x:c r="P44" s="56"/>
      <x:c r="Q44" s="56"/>
      <x:c r="R44" s="64"/>
      <x:c r="S44" s="56"/>
      <x:c r="T44" s="56"/>
      <x:c r="U44" s="64"/>
      <x:c r="V44" s="64"/>
      <x:c r="W44" s="56"/>
    </x:row>
    <x:row r="45">
      <x:c r="A45" s="56"/>
      <x:c r="B45" s="56"/>
      <x:c r="C45" s="56"/>
      <x:c r="D45" s="56"/>
      <x:c r="E45" s="56"/>
      <x:c r="F45" s="56"/>
      <x:c r="G45" s="56"/>
      <x:c r="H45" s="56"/>
      <x:c r="I45" s="56"/>
      <x:c r="J45" s="64"/>
      <x:c r="K45" s="64"/>
      <x:c r="L45" s="56"/>
      <x:c r="M45" s="56"/>
      <x:c r="N45" s="64"/>
      <x:c r="O45" s="56"/>
      <x:c r="P45" s="56"/>
      <x:c r="Q45" s="56"/>
      <x:c r="R45" s="64"/>
      <x:c r="S45" s="56"/>
      <x:c r="T45" s="56"/>
      <x:c r="U45" s="64"/>
      <x:c r="V45" s="64"/>
      <x:c r="W45" s="56"/>
    </x:row>
    <x:row r="46">
      <x:c r="A46" s="56"/>
      <x:c r="B46" s="56"/>
      <x:c r="C46" s="56"/>
      <x:c r="D46" s="56"/>
      <x:c r="E46" s="56"/>
      <x:c r="F46" s="56"/>
      <x:c r="G46" s="56"/>
      <x:c r="H46" s="56"/>
      <x:c r="I46" s="56"/>
      <x:c r="J46" s="64"/>
      <x:c r="K46" s="64"/>
      <x:c r="L46" s="56"/>
      <x:c r="M46" s="56"/>
      <x:c r="N46" s="64"/>
      <x:c r="O46" s="56"/>
      <x:c r="P46" s="56"/>
      <x:c r="Q46" s="56"/>
      <x:c r="R46" s="64"/>
      <x:c r="S46" s="56"/>
      <x:c r="T46" s="56"/>
      <x:c r="U46" s="64"/>
      <x:c r="V46" s="64"/>
      <x:c r="W46" s="56"/>
    </x:row>
    <x:row r="47">
      <x:c r="A47" s="56"/>
      <x:c r="B47" s="56"/>
      <x:c r="C47" s="56"/>
      <x:c r="D47" s="56"/>
      <x:c r="E47" s="56"/>
      <x:c r="F47" s="56"/>
      <x:c r="G47" s="56"/>
      <x:c r="H47" s="56"/>
      <x:c r="I47" s="56"/>
      <x:c r="J47" s="64"/>
      <x:c r="K47" s="64"/>
      <x:c r="L47" s="56"/>
      <x:c r="M47" s="56"/>
      <x:c r="N47" s="64"/>
      <x:c r="O47" s="56"/>
      <x:c r="P47" s="56"/>
      <x:c r="Q47" s="56"/>
      <x:c r="R47" s="64"/>
      <x:c r="S47" s="56"/>
      <x:c r="T47" s="56"/>
      <x:c r="U47" s="64"/>
      <x:c r="V47" s="64"/>
      <x:c r="W47" s="56"/>
    </x:row>
    <x:row r="48">
      <x:c r="A48" s="56"/>
      <x:c r="B48" s="56"/>
      <x:c r="C48" s="56"/>
      <x:c r="D48" s="56"/>
      <x:c r="E48" s="56"/>
      <x:c r="F48" s="56"/>
      <x:c r="G48" s="56"/>
      <x:c r="H48" s="56"/>
      <x:c r="I48" s="56"/>
      <x:c r="J48" s="64"/>
      <x:c r="K48" s="64"/>
      <x:c r="L48" s="56"/>
      <x:c r="M48" s="56"/>
      <x:c r="N48" s="64"/>
      <x:c r="O48" s="56"/>
      <x:c r="P48" s="56"/>
      <x:c r="Q48" s="56"/>
      <x:c r="R48" s="64"/>
      <x:c r="S48" s="56"/>
      <x:c r="T48" s="56"/>
      <x:c r="U48" s="64"/>
      <x:c r="V48" s="64"/>
      <x:c r="W48" s="56"/>
    </x:row>
    <x:row r="49">
      <x:c r="A49" s="56"/>
      <x:c r="B49" s="56"/>
      <x:c r="C49" s="56"/>
      <x:c r="D49" s="56"/>
      <x:c r="E49" s="56"/>
      <x:c r="F49" s="56"/>
      <x:c r="G49" s="56"/>
      <x:c r="H49" s="56"/>
      <x:c r="I49" s="56"/>
      <x:c r="J49" s="64"/>
      <x:c r="K49" s="64"/>
      <x:c r="L49" s="56"/>
      <x:c r="M49" s="56"/>
      <x:c r="N49" s="64"/>
      <x:c r="O49" s="56"/>
      <x:c r="P49" s="56"/>
      <x:c r="Q49" s="56"/>
      <x:c r="R49" s="64"/>
      <x:c r="S49" s="56"/>
      <x:c r="T49" s="56"/>
      <x:c r="U49" s="64"/>
      <x:c r="V49" s="64"/>
      <x:c r="W49" s="56"/>
    </x:row>
    <x:row r="50">
      <x:c r="A50" s="56"/>
      <x:c r="B50" s="56"/>
      <x:c r="C50" s="56"/>
      <x:c r="D50" s="56"/>
      <x:c r="E50" s="56"/>
      <x:c r="F50" s="56"/>
      <x:c r="G50" s="56"/>
      <x:c r="H50" s="56"/>
      <x:c r="I50" s="56"/>
      <x:c r="J50" s="64"/>
      <x:c r="K50" s="64"/>
      <x:c r="L50" s="56"/>
      <x:c r="M50" s="56"/>
      <x:c r="N50" s="64"/>
      <x:c r="O50" s="56"/>
      <x:c r="P50" s="56"/>
      <x:c r="Q50" s="56"/>
      <x:c r="R50" s="64"/>
      <x:c r="S50" s="56"/>
      <x:c r="T50" s="56"/>
      <x:c r="U50" s="64"/>
      <x:c r="V50" s="64"/>
      <x:c r="W50" s="56"/>
    </x:row>
    <x:row r="51">
      <x:c r="A51" s="56"/>
      <x:c r="B51" s="56"/>
      <x:c r="C51" s="56"/>
      <x:c r="D51" s="56"/>
      <x:c r="E51" s="56"/>
      <x:c r="F51" s="56"/>
      <x:c r="G51" s="56"/>
      <x:c r="H51" s="56"/>
      <x:c r="I51" s="56"/>
      <x:c r="J51" s="64"/>
      <x:c r="K51" s="64"/>
      <x:c r="L51" s="56"/>
      <x:c r="M51" s="56"/>
      <x:c r="N51" s="64"/>
      <x:c r="O51" s="56"/>
      <x:c r="P51" s="56"/>
      <x:c r="Q51" s="56"/>
      <x:c r="R51" s="64"/>
      <x:c r="S51" s="56"/>
      <x:c r="T51" s="56"/>
      <x:c r="U51" s="64"/>
      <x:c r="V51" s="64"/>
      <x:c r="W51" s="56"/>
    </x:row>
    <x:row r="52">
      <x:c r="A52" s="56"/>
      <x:c r="B52" s="56"/>
      <x:c r="C52" s="56"/>
      <x:c r="D52" s="56"/>
      <x:c r="E52" s="56"/>
      <x:c r="F52" s="56"/>
      <x:c r="G52" s="56"/>
      <x:c r="H52" s="56"/>
      <x:c r="I52" s="56"/>
      <x:c r="J52" s="64"/>
      <x:c r="K52" s="64"/>
      <x:c r="L52" s="56"/>
      <x:c r="M52" s="56"/>
      <x:c r="N52" s="64"/>
      <x:c r="O52" s="56"/>
      <x:c r="P52" s="56"/>
      <x:c r="Q52" s="56"/>
      <x:c r="R52" s="64"/>
      <x:c r="S52" s="56"/>
      <x:c r="T52" s="56"/>
      <x:c r="U52" s="64"/>
      <x:c r="V52" s="64"/>
      <x:c r="W52" s="56"/>
    </x:row>
    <x:row r="53">
      <x:c r="A53" s="56"/>
      <x:c r="B53" s="56"/>
      <x:c r="C53" s="56"/>
      <x:c r="D53" s="56"/>
      <x:c r="E53" s="56"/>
      <x:c r="F53" s="56"/>
      <x:c r="G53" s="56"/>
      <x:c r="H53" s="56"/>
      <x:c r="I53" s="56"/>
      <x:c r="J53" s="64"/>
      <x:c r="K53" s="64"/>
      <x:c r="L53" s="56"/>
      <x:c r="M53" s="56"/>
      <x:c r="N53" s="64"/>
      <x:c r="O53" s="56"/>
      <x:c r="P53" s="56"/>
      <x:c r="Q53" s="56"/>
      <x:c r="R53" s="64"/>
      <x:c r="S53" s="56"/>
      <x:c r="T53" s="56"/>
      <x:c r="U53" s="64"/>
      <x:c r="V53" s="64"/>
      <x:c r="W53" s="56"/>
    </x:row>
    <x:row r="54">
      <x:c r="A54" s="56"/>
      <x:c r="B54" s="56"/>
      <x:c r="C54" s="56"/>
      <x:c r="D54" s="56"/>
      <x:c r="E54" s="56"/>
      <x:c r="F54" s="56"/>
      <x:c r="G54" s="56"/>
      <x:c r="H54" s="56"/>
      <x:c r="I54" s="56"/>
      <x:c r="J54" s="64"/>
      <x:c r="K54" s="64"/>
      <x:c r="L54" s="56"/>
      <x:c r="M54" s="56"/>
      <x:c r="N54" s="64"/>
      <x:c r="O54" s="56"/>
      <x:c r="P54" s="56"/>
      <x:c r="Q54" s="56"/>
      <x:c r="R54" s="64"/>
      <x:c r="S54" s="56"/>
      <x:c r="T54" s="56"/>
      <x:c r="U54" s="64"/>
      <x:c r="V54" s="64"/>
      <x:c r="W54" s="56"/>
    </x:row>
    <x:row r="55">
      <x:c r="A55" s="56"/>
      <x:c r="B55" s="56"/>
      <x:c r="C55" s="56"/>
      <x:c r="D55" s="56"/>
      <x:c r="E55" s="56"/>
      <x:c r="F55" s="56"/>
      <x:c r="G55" s="56"/>
      <x:c r="H55" s="56"/>
      <x:c r="I55" s="56"/>
      <x:c r="J55" s="64"/>
      <x:c r="K55" s="64"/>
      <x:c r="L55" s="56"/>
      <x:c r="M55" s="56"/>
      <x:c r="N55" s="64"/>
      <x:c r="O55" s="56"/>
      <x:c r="P55" s="56"/>
      <x:c r="Q55" s="56"/>
      <x:c r="R55" s="64"/>
      <x:c r="S55" s="56"/>
      <x:c r="T55" s="56"/>
      <x:c r="U55" s="64"/>
      <x:c r="V55" s="64"/>
      <x:c r="W55" s="56"/>
    </x:row>
    <x:row r="56">
      <x:c r="A56" s="56"/>
      <x:c r="B56" s="56"/>
      <x:c r="C56" s="56"/>
      <x:c r="D56" s="56"/>
      <x:c r="E56" s="56"/>
      <x:c r="F56" s="56"/>
      <x:c r="G56" s="56"/>
      <x:c r="H56" s="56"/>
      <x:c r="I56" s="56"/>
      <x:c r="J56" s="64"/>
      <x:c r="K56" s="64"/>
      <x:c r="L56" s="56"/>
      <x:c r="M56" s="56"/>
      <x:c r="N56" s="64"/>
      <x:c r="O56" s="56"/>
      <x:c r="P56" s="56"/>
      <x:c r="Q56" s="56"/>
      <x:c r="R56" s="64"/>
      <x:c r="S56" s="56"/>
      <x:c r="T56" s="56"/>
      <x:c r="U56" s="64"/>
      <x:c r="V56" s="64"/>
      <x:c r="W56" s="56"/>
    </x:row>
    <x:row r="57">
      <x:c r="A57" s="56"/>
      <x:c r="B57" s="56"/>
      <x:c r="C57" s="56"/>
      <x:c r="D57" s="56"/>
      <x:c r="E57" s="56"/>
      <x:c r="F57" s="56"/>
      <x:c r="G57" s="56"/>
      <x:c r="H57" s="56"/>
      <x:c r="I57" s="56"/>
      <x:c r="J57" s="64"/>
      <x:c r="K57" s="64"/>
      <x:c r="L57" s="56"/>
      <x:c r="M57" s="56"/>
      <x:c r="N57" s="64"/>
      <x:c r="O57" s="56"/>
      <x:c r="P57" s="56"/>
      <x:c r="Q57" s="56"/>
      <x:c r="R57" s="64"/>
      <x:c r="S57" s="56"/>
      <x:c r="T57" s="56"/>
      <x:c r="U57" s="64"/>
      <x:c r="V57" s="64"/>
      <x:c r="W57" s="56"/>
    </x:row>
    <x:row r="58">
      <x:c r="A58" s="56"/>
      <x:c r="B58" s="56"/>
      <x:c r="C58" s="56"/>
      <x:c r="D58" s="56"/>
      <x:c r="E58" s="56"/>
      <x:c r="F58" s="56"/>
      <x:c r="G58" s="56"/>
      <x:c r="H58" s="56"/>
      <x:c r="I58" s="56"/>
      <x:c r="J58" s="64"/>
      <x:c r="K58" s="64"/>
      <x:c r="L58" s="56"/>
      <x:c r="M58" s="56"/>
      <x:c r="N58" s="64"/>
      <x:c r="O58" s="56"/>
      <x:c r="P58" s="56"/>
      <x:c r="Q58" s="56"/>
      <x:c r="R58" s="64"/>
      <x:c r="S58" s="56"/>
      <x:c r="T58" s="56"/>
      <x:c r="U58" s="64"/>
      <x:c r="V58" s="64"/>
      <x:c r="W58" s="56"/>
    </x:row>
    <x:row r="59">
      <x:c r="A59" s="56"/>
      <x:c r="B59" s="56"/>
      <x:c r="C59" s="56"/>
      <x:c r="D59" s="56"/>
      <x:c r="E59" s="56"/>
      <x:c r="F59" s="56"/>
      <x:c r="G59" s="56"/>
      <x:c r="H59" s="56"/>
      <x:c r="I59" s="56"/>
      <x:c r="J59" s="64"/>
      <x:c r="K59" s="64"/>
      <x:c r="L59" s="56"/>
      <x:c r="M59" s="56"/>
      <x:c r="N59" s="64"/>
      <x:c r="O59" s="56"/>
      <x:c r="P59" s="56"/>
      <x:c r="Q59" s="56"/>
      <x:c r="R59" s="64"/>
      <x:c r="S59" s="56"/>
      <x:c r="T59" s="56"/>
      <x:c r="U59" s="64"/>
      <x:c r="V59" s="64"/>
      <x:c r="W59" s="56"/>
    </x:row>
    <x:row r="60">
      <x:c r="A60" s="56"/>
      <x:c r="B60" s="56"/>
      <x:c r="C60" s="56"/>
      <x:c r="D60" s="56"/>
      <x:c r="E60" s="56"/>
      <x:c r="F60" s="56"/>
      <x:c r="G60" s="56"/>
      <x:c r="H60" s="56"/>
      <x:c r="I60" s="56"/>
      <x:c r="J60" s="64"/>
      <x:c r="K60" s="64"/>
      <x:c r="L60" s="56"/>
      <x:c r="M60" s="56"/>
      <x:c r="N60" s="64"/>
      <x:c r="O60" s="56"/>
      <x:c r="P60" s="56"/>
      <x:c r="Q60" s="56"/>
      <x:c r="R60" s="64"/>
      <x:c r="S60" s="56"/>
      <x:c r="T60" s="56"/>
      <x:c r="U60" s="64"/>
      <x:c r="V60" s="64"/>
      <x:c r="W60" s="56"/>
    </x:row>
    <x:row r="61">
      <x:c r="A61" s="56"/>
      <x:c r="B61" s="56"/>
      <x:c r="C61" s="56"/>
      <x:c r="D61" s="56"/>
      <x:c r="E61" s="56"/>
      <x:c r="F61" s="56"/>
      <x:c r="G61" s="56"/>
      <x:c r="H61" s="56"/>
      <x:c r="I61" s="56"/>
      <x:c r="J61" s="64"/>
      <x:c r="K61" s="64"/>
      <x:c r="L61" s="56"/>
      <x:c r="M61" s="56"/>
      <x:c r="N61" s="64"/>
      <x:c r="O61" s="56"/>
      <x:c r="P61" s="56"/>
      <x:c r="Q61" s="56"/>
      <x:c r="R61" s="64"/>
      <x:c r="S61" s="56"/>
      <x:c r="T61" s="56"/>
      <x:c r="U61" s="64"/>
      <x:c r="V61" s="64"/>
      <x:c r="W61" s="56"/>
    </x:row>
    <x:row r="62">
      <x:c r="A62" s="56"/>
      <x:c r="B62" s="56"/>
      <x:c r="C62" s="56"/>
      <x:c r="D62" s="56"/>
      <x:c r="E62" s="56"/>
      <x:c r="F62" s="56"/>
      <x:c r="G62" s="56"/>
      <x:c r="H62" s="56"/>
      <x:c r="I62" s="56"/>
      <x:c r="J62" s="64"/>
      <x:c r="K62" s="64"/>
      <x:c r="L62" s="56"/>
      <x:c r="M62" s="56"/>
      <x:c r="N62" s="64"/>
      <x:c r="O62" s="56"/>
      <x:c r="P62" s="56"/>
      <x:c r="Q62" s="56"/>
      <x:c r="R62" s="64"/>
      <x:c r="S62" s="56"/>
      <x:c r="T62" s="56"/>
      <x:c r="U62" s="64"/>
      <x:c r="V62" s="64"/>
      <x:c r="W62" s="56"/>
    </x:row>
    <x:row r="63">
      <x:c r="A63" s="56"/>
      <x:c r="B63" s="56"/>
      <x:c r="C63" s="56"/>
      <x:c r="D63" s="56"/>
      <x:c r="E63" s="56"/>
      <x:c r="F63" s="56"/>
      <x:c r="G63" s="56"/>
      <x:c r="H63" s="56"/>
      <x:c r="I63" s="56"/>
      <x:c r="J63" s="64"/>
      <x:c r="K63" s="64"/>
      <x:c r="L63" s="56"/>
      <x:c r="M63" s="56"/>
      <x:c r="N63" s="64"/>
      <x:c r="O63" s="56"/>
      <x:c r="P63" s="56"/>
      <x:c r="Q63" s="56"/>
      <x:c r="R63" s="64"/>
      <x:c r="S63" s="56"/>
      <x:c r="T63" s="56"/>
      <x:c r="U63" s="64"/>
      <x:c r="V63" s="64"/>
      <x:c r="W63" s="56"/>
    </x:row>
    <x:row r="64">
      <x:c r="A64" s="56"/>
      <x:c r="B64" s="56"/>
      <x:c r="C64" s="56"/>
      <x:c r="D64" s="56"/>
      <x:c r="E64" s="56"/>
      <x:c r="F64" s="56"/>
      <x:c r="G64" s="56"/>
      <x:c r="H64" s="56"/>
      <x:c r="I64" s="56"/>
      <x:c r="J64" s="64"/>
      <x:c r="K64" s="64"/>
      <x:c r="L64" s="56"/>
      <x:c r="M64" s="56"/>
      <x:c r="N64" s="64"/>
      <x:c r="O64" s="56"/>
      <x:c r="P64" s="56"/>
      <x:c r="Q64" s="56"/>
      <x:c r="R64" s="64"/>
      <x:c r="S64" s="56"/>
      <x:c r="T64" s="56"/>
      <x:c r="U64" s="64"/>
      <x:c r="V64" s="64"/>
      <x:c r="W64" s="56"/>
    </x:row>
    <x:row r="65">
      <x:c r="A65" s="56"/>
      <x:c r="B65" s="56"/>
      <x:c r="C65" s="56"/>
      <x:c r="D65" s="56"/>
      <x:c r="E65" s="56"/>
      <x:c r="F65" s="56"/>
      <x:c r="G65" s="56"/>
      <x:c r="H65" s="56"/>
      <x:c r="I65" s="56"/>
      <x:c r="J65" s="64"/>
      <x:c r="K65" s="64"/>
      <x:c r="L65" s="56"/>
      <x:c r="M65" s="56"/>
      <x:c r="N65" s="64"/>
      <x:c r="O65" s="56"/>
      <x:c r="P65" s="56"/>
      <x:c r="Q65" s="56"/>
      <x:c r="R65" s="64"/>
      <x:c r="S65" s="56"/>
      <x:c r="T65" s="56"/>
      <x:c r="U65" s="64"/>
      <x:c r="V65" s="64"/>
      <x:c r="W65" s="56"/>
    </x:row>
    <x:row r="66">
      <x:c r="A66" s="56"/>
      <x:c r="B66" s="56"/>
      <x:c r="C66" s="56"/>
      <x:c r="D66" s="56"/>
      <x:c r="E66" s="56"/>
      <x:c r="F66" s="56"/>
      <x:c r="G66" s="56"/>
      <x:c r="H66" s="56"/>
      <x:c r="I66" s="56"/>
      <x:c r="J66" s="64"/>
      <x:c r="K66" s="64"/>
      <x:c r="L66" s="56"/>
      <x:c r="M66" s="56"/>
      <x:c r="N66" s="64"/>
      <x:c r="O66" s="56"/>
      <x:c r="P66" s="56"/>
      <x:c r="Q66" s="56"/>
      <x:c r="R66" s="64"/>
      <x:c r="S66" s="56"/>
      <x:c r="T66" s="56"/>
      <x:c r="U66" s="64"/>
      <x:c r="V66" s="64"/>
      <x:c r="W66" s="56"/>
    </x:row>
    <x:row r="67">
      <x:c r="A67" s="56"/>
      <x:c r="B67" s="56"/>
      <x:c r="C67" s="56"/>
      <x:c r="D67" s="56"/>
      <x:c r="E67" s="56"/>
      <x:c r="F67" s="56"/>
      <x:c r="G67" s="56"/>
      <x:c r="H67" s="56"/>
      <x:c r="I67" s="56"/>
      <x:c r="J67" s="64"/>
      <x:c r="K67" s="64"/>
      <x:c r="L67" s="56"/>
      <x:c r="M67" s="56"/>
      <x:c r="N67" s="64"/>
      <x:c r="O67" s="56"/>
      <x:c r="P67" s="56"/>
      <x:c r="Q67" s="56"/>
      <x:c r="R67" s="64"/>
      <x:c r="S67" s="56"/>
      <x:c r="T67" s="56"/>
      <x:c r="U67" s="64"/>
      <x:c r="V67" s="64"/>
      <x:c r="W67" s="56"/>
    </x:row>
    <x:row r="68">
      <x:c r="A68" s="56"/>
      <x:c r="B68" s="56"/>
      <x:c r="C68" s="56"/>
      <x:c r="D68" s="56"/>
      <x:c r="E68" s="56"/>
      <x:c r="F68" s="56"/>
      <x:c r="G68" s="56"/>
      <x:c r="H68" s="56"/>
      <x:c r="I68" s="56"/>
      <x:c r="J68" s="64"/>
      <x:c r="K68" s="64"/>
      <x:c r="L68" s="56"/>
      <x:c r="M68" s="56"/>
      <x:c r="N68" s="64"/>
      <x:c r="O68" s="56"/>
      <x:c r="P68" s="56"/>
      <x:c r="Q68" s="56"/>
      <x:c r="R68" s="64"/>
      <x:c r="S68" s="56"/>
      <x:c r="T68" s="56"/>
      <x:c r="U68" s="64"/>
      <x:c r="V68" s="64"/>
      <x:c r="W68" s="56"/>
    </x:row>
    <x:row r="69">
      <x:c r="A69" s="56"/>
      <x:c r="B69" s="56"/>
      <x:c r="C69" s="56"/>
      <x:c r="D69" s="56"/>
      <x:c r="E69" s="56"/>
      <x:c r="F69" s="56"/>
      <x:c r="G69" s="56"/>
      <x:c r="H69" s="56"/>
      <x:c r="I69" s="56"/>
      <x:c r="J69" s="64"/>
      <x:c r="K69" s="64"/>
      <x:c r="L69" s="56"/>
      <x:c r="M69" s="56"/>
      <x:c r="N69" s="64"/>
      <x:c r="O69" s="56"/>
      <x:c r="P69" s="56"/>
      <x:c r="Q69" s="56"/>
      <x:c r="R69" s="64"/>
      <x:c r="S69" s="56"/>
      <x:c r="T69" s="56"/>
      <x:c r="U69" s="64"/>
      <x:c r="V69" s="64"/>
      <x:c r="W69" s="56"/>
    </x:row>
    <x:row r="70">
      <x:c r="A70" s="56"/>
      <x:c r="B70" s="56"/>
      <x:c r="C70" s="56"/>
      <x:c r="D70" s="56"/>
      <x:c r="E70" s="56"/>
      <x:c r="F70" s="56"/>
      <x:c r="G70" s="56"/>
      <x:c r="H70" s="56"/>
      <x:c r="I70" s="56"/>
      <x:c r="J70" s="64"/>
      <x:c r="K70" s="64"/>
      <x:c r="L70" s="56"/>
      <x:c r="M70" s="56"/>
      <x:c r="N70" s="64"/>
      <x:c r="O70" s="56"/>
      <x:c r="P70" s="56"/>
      <x:c r="Q70" s="56"/>
      <x:c r="R70" s="64"/>
      <x:c r="S70" s="56"/>
      <x:c r="T70" s="56"/>
      <x:c r="U70" s="64"/>
      <x:c r="V70" s="64"/>
      <x:c r="W70" s="56"/>
    </x:row>
    <x:row r="71">
      <x:c r="A71" s="56"/>
      <x:c r="B71" s="56"/>
      <x:c r="C71" s="56"/>
      <x:c r="D71" s="56"/>
      <x:c r="E71" s="56"/>
      <x:c r="F71" s="56"/>
      <x:c r="G71" s="56"/>
      <x:c r="H71" s="56"/>
      <x:c r="I71" s="56"/>
      <x:c r="J71" s="64"/>
      <x:c r="K71" s="64"/>
      <x:c r="L71" s="56"/>
      <x:c r="M71" s="56"/>
      <x:c r="N71" s="64"/>
      <x:c r="O71" s="56"/>
      <x:c r="P71" s="56"/>
      <x:c r="Q71" s="56"/>
      <x:c r="R71" s="64"/>
      <x:c r="S71" s="56"/>
      <x:c r="T71" s="56"/>
      <x:c r="U71" s="64"/>
      <x:c r="V71" s="64"/>
      <x:c r="W71" s="56"/>
    </x:row>
    <x:row r="72">
      <x:c r="A72" s="56"/>
      <x:c r="B72" s="56"/>
      <x:c r="C72" s="56"/>
      <x:c r="D72" s="56"/>
      <x:c r="E72" s="56"/>
      <x:c r="F72" s="56"/>
      <x:c r="G72" s="56"/>
      <x:c r="H72" s="56"/>
      <x:c r="I72" s="56"/>
      <x:c r="J72" s="64"/>
      <x:c r="K72" s="64"/>
      <x:c r="L72" s="56"/>
      <x:c r="M72" s="56"/>
      <x:c r="N72" s="64"/>
      <x:c r="O72" s="56"/>
      <x:c r="P72" s="56"/>
      <x:c r="Q72" s="56"/>
      <x:c r="R72" s="64"/>
      <x:c r="S72" s="56"/>
      <x:c r="T72" s="56"/>
      <x:c r="U72" s="64"/>
      <x:c r="V72" s="64"/>
      <x:c r="W72" s="56"/>
    </x:row>
    <x:row r="73">
      <x:c r="A73" s="56"/>
      <x:c r="B73" s="56"/>
      <x:c r="C73" s="56"/>
      <x:c r="D73" s="56"/>
      <x:c r="E73" s="56"/>
      <x:c r="F73" s="56"/>
      <x:c r="G73" s="56"/>
      <x:c r="H73" s="56"/>
      <x:c r="I73" s="56"/>
      <x:c r="J73" s="64"/>
      <x:c r="K73" s="64"/>
      <x:c r="L73" s="56"/>
      <x:c r="M73" s="56"/>
      <x:c r="N73" s="64"/>
      <x:c r="O73" s="56"/>
      <x:c r="P73" s="56"/>
      <x:c r="Q73" s="56"/>
      <x:c r="R73" s="64"/>
      <x:c r="S73" s="56"/>
      <x:c r="T73" s="56"/>
      <x:c r="U73" s="64"/>
      <x:c r="V73" s="64"/>
      <x:c r="W73" s="56"/>
    </x:row>
    <x:row r="74">
      <x:c r="A74" s="56"/>
      <x:c r="B74" s="56"/>
      <x:c r="C74" s="56"/>
      <x:c r="D74" s="56"/>
      <x:c r="E74" s="56"/>
      <x:c r="F74" s="56"/>
      <x:c r="G74" s="56"/>
      <x:c r="H74" s="56"/>
      <x:c r="I74" s="56"/>
      <x:c r="J74" s="64"/>
      <x:c r="K74" s="64"/>
      <x:c r="L74" s="56"/>
      <x:c r="M74" s="56"/>
      <x:c r="N74" s="64"/>
      <x:c r="O74" s="56"/>
      <x:c r="P74" s="56"/>
      <x:c r="Q74" s="56"/>
      <x:c r="R74" s="64"/>
      <x:c r="S74" s="56"/>
      <x:c r="T74" s="56"/>
      <x:c r="U74" s="64"/>
      <x:c r="V74" s="64"/>
      <x:c r="W74" s="56"/>
    </x:row>
    <x:row r="75">
      <x:c r="A75" s="56"/>
      <x:c r="B75" s="56"/>
      <x:c r="C75" s="56"/>
      <x:c r="D75" s="56"/>
      <x:c r="E75" s="56"/>
      <x:c r="F75" s="56"/>
      <x:c r="G75" s="56"/>
      <x:c r="H75" s="56"/>
      <x:c r="I75" s="56"/>
      <x:c r="J75" s="64"/>
      <x:c r="K75" s="64"/>
      <x:c r="L75" s="56"/>
      <x:c r="M75" s="56"/>
      <x:c r="N75" s="64"/>
      <x:c r="O75" s="56"/>
      <x:c r="P75" s="56"/>
      <x:c r="Q75" s="56"/>
      <x:c r="R75" s="64"/>
      <x:c r="S75" s="56"/>
      <x:c r="T75" s="56"/>
      <x:c r="U75" s="64"/>
      <x:c r="V75" s="64"/>
      <x:c r="W75" s="56"/>
    </x:row>
    <x:row r="76">
      <x:c r="A76" s="56"/>
      <x:c r="B76" s="56"/>
      <x:c r="C76" s="56"/>
      <x:c r="D76" s="56"/>
      <x:c r="E76" s="56"/>
      <x:c r="F76" s="56"/>
      <x:c r="G76" s="56"/>
      <x:c r="H76" s="56"/>
      <x:c r="I76" s="56"/>
      <x:c r="J76" s="64"/>
      <x:c r="K76" s="64"/>
      <x:c r="L76" s="56"/>
      <x:c r="M76" s="56"/>
      <x:c r="N76" s="64"/>
      <x:c r="O76" s="56"/>
      <x:c r="P76" s="56"/>
      <x:c r="Q76" s="56"/>
      <x:c r="R76" s="64"/>
      <x:c r="S76" s="56"/>
      <x:c r="T76" s="56"/>
      <x:c r="U76" s="64"/>
      <x:c r="V76" s="64"/>
      <x:c r="W76" s="56"/>
    </x:row>
    <x:row r="77">
      <x:c r="A77" s="56"/>
      <x:c r="B77" s="56"/>
      <x:c r="C77" s="56"/>
      <x:c r="D77" s="56"/>
      <x:c r="E77" s="56"/>
      <x:c r="F77" s="56"/>
      <x:c r="G77" s="56"/>
      <x:c r="H77" s="56"/>
      <x:c r="I77" s="56"/>
      <x:c r="J77" s="64"/>
      <x:c r="K77" s="64"/>
      <x:c r="L77" s="56"/>
      <x:c r="M77" s="56"/>
      <x:c r="N77" s="64"/>
      <x:c r="O77" s="56"/>
      <x:c r="P77" s="56"/>
      <x:c r="Q77" s="56"/>
      <x:c r="R77" s="64"/>
      <x:c r="S77" s="56"/>
      <x:c r="T77" s="56"/>
      <x:c r="U77" s="64"/>
      <x:c r="V77" s="64"/>
      <x:c r="W77" s="56"/>
    </x:row>
    <x:row r="78">
      <x:c r="A78" s="56"/>
      <x:c r="B78" s="56"/>
      <x:c r="C78" s="56"/>
      <x:c r="D78" s="56"/>
      <x:c r="E78" s="56"/>
      <x:c r="F78" s="56"/>
      <x:c r="G78" s="56"/>
      <x:c r="H78" s="56"/>
      <x:c r="I78" s="56"/>
      <x:c r="J78" s="64"/>
      <x:c r="K78" s="64"/>
      <x:c r="L78" s="56"/>
      <x:c r="M78" s="56"/>
      <x:c r="N78" s="64"/>
      <x:c r="O78" s="56"/>
      <x:c r="P78" s="56"/>
      <x:c r="Q78" s="56"/>
      <x:c r="R78" s="64"/>
      <x:c r="S78" s="56"/>
      <x:c r="T78" s="56"/>
      <x:c r="U78" s="64"/>
      <x:c r="V78" s="64"/>
      <x:c r="W78" s="56"/>
    </x:row>
    <x:row r="79">
      <x:c r="A79" s="56"/>
      <x:c r="B79" s="56"/>
      <x:c r="C79" s="56"/>
      <x:c r="D79" s="56"/>
      <x:c r="E79" s="56"/>
      <x:c r="F79" s="56"/>
      <x:c r="G79" s="56"/>
      <x:c r="H79" s="56"/>
      <x:c r="I79" s="56"/>
      <x:c r="J79" s="64"/>
      <x:c r="K79" s="64"/>
      <x:c r="L79" s="56"/>
      <x:c r="M79" s="56"/>
      <x:c r="N79" s="64"/>
      <x:c r="O79" s="56"/>
      <x:c r="P79" s="56"/>
      <x:c r="Q79" s="56"/>
      <x:c r="R79" s="64"/>
      <x:c r="S79" s="56"/>
      <x:c r="T79" s="56"/>
      <x:c r="U79" s="64"/>
      <x:c r="V79" s="64"/>
      <x:c r="W79" s="56"/>
    </x:row>
    <x:row r="80">
      <x:c r="A80" s="56"/>
      <x:c r="B80" s="56"/>
      <x:c r="C80" s="56"/>
      <x:c r="D80" s="56"/>
      <x:c r="E80" s="56"/>
      <x:c r="F80" s="56"/>
      <x:c r="G80" s="56"/>
      <x:c r="H80" s="56"/>
      <x:c r="I80" s="56"/>
      <x:c r="J80" s="64"/>
      <x:c r="K80" s="64"/>
      <x:c r="L80" s="56"/>
      <x:c r="M80" s="56"/>
      <x:c r="N80" s="64"/>
      <x:c r="O80" s="56"/>
      <x:c r="P80" s="56"/>
      <x:c r="Q80" s="56"/>
      <x:c r="R80" s="64"/>
      <x:c r="S80" s="56"/>
      <x:c r="T80" s="56"/>
      <x:c r="U80" s="64"/>
      <x:c r="V80" s="64"/>
      <x:c r="W80" s="56"/>
    </x:row>
    <x:row r="81">
      <x:c r="A81" s="56"/>
      <x:c r="B81" s="56"/>
      <x:c r="C81" s="56"/>
      <x:c r="D81" s="56"/>
      <x:c r="E81" s="56"/>
      <x:c r="F81" s="56"/>
      <x:c r="G81" s="56"/>
      <x:c r="H81" s="56"/>
      <x:c r="I81" s="56"/>
      <x:c r="J81" s="64"/>
      <x:c r="K81" s="64"/>
      <x:c r="L81" s="56"/>
      <x:c r="M81" s="56"/>
      <x:c r="N81" s="64"/>
      <x:c r="O81" s="56"/>
      <x:c r="P81" s="56"/>
      <x:c r="Q81" s="56"/>
      <x:c r="R81" s="64"/>
      <x:c r="S81" s="56"/>
      <x:c r="T81" s="56"/>
      <x:c r="U81" s="64"/>
      <x:c r="V81" s="64"/>
      <x:c r="W81" s="56"/>
    </x:row>
    <x:row r="82">
      <x:c r="A82" s="56"/>
      <x:c r="B82" s="56"/>
      <x:c r="C82" s="56"/>
      <x:c r="D82" s="56"/>
      <x:c r="E82" s="56"/>
      <x:c r="F82" s="56"/>
      <x:c r="G82" s="56"/>
      <x:c r="H82" s="56"/>
      <x:c r="I82" s="56"/>
      <x:c r="J82" s="64"/>
      <x:c r="K82" s="64"/>
      <x:c r="L82" s="56"/>
      <x:c r="M82" s="56"/>
      <x:c r="N82" s="64"/>
      <x:c r="O82" s="56"/>
      <x:c r="P82" s="56"/>
      <x:c r="Q82" s="56"/>
      <x:c r="R82" s="64"/>
      <x:c r="S82" s="56"/>
      <x:c r="T82" s="56"/>
      <x:c r="U82" s="64"/>
      <x:c r="V82" s="64"/>
      <x:c r="W82" s="56"/>
    </x:row>
    <x:row r="83">
      <x:c r="A83" s="56"/>
      <x:c r="B83" s="56"/>
      <x:c r="C83" s="56"/>
      <x:c r="D83" s="56"/>
      <x:c r="E83" s="56"/>
      <x:c r="F83" s="56"/>
      <x:c r="G83" s="56"/>
      <x:c r="H83" s="56"/>
      <x:c r="I83" s="56"/>
      <x:c r="J83" s="64"/>
      <x:c r="K83" s="64"/>
      <x:c r="L83" s="56"/>
      <x:c r="M83" s="56"/>
      <x:c r="N83" s="64"/>
      <x:c r="O83" s="56"/>
      <x:c r="P83" s="56"/>
      <x:c r="Q83" s="56"/>
      <x:c r="R83" s="64"/>
      <x:c r="S83" s="56"/>
      <x:c r="T83" s="56"/>
      <x:c r="U83" s="64"/>
      <x:c r="V83" s="64"/>
      <x:c r="W83" s="56"/>
    </x:row>
    <x:row r="84">
      <x:c r="A84" s="56"/>
      <x:c r="B84" s="56"/>
      <x:c r="C84" s="56"/>
      <x:c r="D84" s="56"/>
      <x:c r="E84" s="56"/>
      <x:c r="F84" s="56"/>
      <x:c r="G84" s="56"/>
      <x:c r="H84" s="56"/>
      <x:c r="I84" s="56"/>
      <x:c r="J84" s="64"/>
      <x:c r="K84" s="64"/>
      <x:c r="L84" s="56"/>
      <x:c r="M84" s="56"/>
      <x:c r="N84" s="64"/>
      <x:c r="O84" s="56"/>
      <x:c r="P84" s="56"/>
      <x:c r="Q84" s="56"/>
      <x:c r="R84" s="64"/>
      <x:c r="S84" s="56"/>
      <x:c r="T84" s="56"/>
      <x:c r="U84" s="64"/>
      <x:c r="V84" s="64"/>
      <x:c r="W84" s="56"/>
    </x:row>
    <x:row r="85">
      <x:c r="A85" s="56"/>
      <x:c r="B85" s="56"/>
      <x:c r="C85" s="56"/>
      <x:c r="D85" s="56"/>
      <x:c r="E85" s="56"/>
      <x:c r="F85" s="56"/>
      <x:c r="G85" s="56"/>
      <x:c r="H85" s="56"/>
      <x:c r="I85" s="56"/>
      <x:c r="J85" s="64"/>
      <x:c r="K85" s="64"/>
      <x:c r="L85" s="56"/>
      <x:c r="M85" s="56"/>
      <x:c r="N85" s="64"/>
      <x:c r="O85" s="56"/>
      <x:c r="P85" s="56"/>
      <x:c r="Q85" s="56"/>
      <x:c r="R85" s="64"/>
      <x:c r="S85" s="56"/>
      <x:c r="T85" s="56"/>
      <x:c r="U85" s="64"/>
      <x:c r="V85" s="64"/>
      <x:c r="W85" s="56"/>
    </x:row>
    <x:row r="86">
      <x:c r="A86" s="56"/>
      <x:c r="B86" s="56"/>
      <x:c r="C86" s="56"/>
      <x:c r="D86" s="56"/>
      <x:c r="E86" s="56"/>
      <x:c r="F86" s="56"/>
      <x:c r="G86" s="56"/>
      <x:c r="H86" s="56"/>
      <x:c r="I86" s="56"/>
      <x:c r="J86" s="64"/>
      <x:c r="K86" s="64"/>
      <x:c r="L86" s="56"/>
      <x:c r="M86" s="56"/>
      <x:c r="N86" s="64"/>
      <x:c r="O86" s="56"/>
      <x:c r="P86" s="56"/>
      <x:c r="Q86" s="56"/>
      <x:c r="R86" s="64"/>
      <x:c r="S86" s="56"/>
      <x:c r="T86" s="56"/>
      <x:c r="U86" s="64"/>
      <x:c r="V86" s="64"/>
      <x:c r="W86" s="56"/>
    </x:row>
    <x:row r="87">
      <x:c r="A87" s="56"/>
      <x:c r="B87" s="56"/>
      <x:c r="C87" s="56"/>
      <x:c r="D87" s="56"/>
      <x:c r="E87" s="56"/>
      <x:c r="F87" s="56"/>
      <x:c r="G87" s="56"/>
      <x:c r="H87" s="56"/>
      <x:c r="I87" s="56"/>
      <x:c r="J87" s="64"/>
      <x:c r="K87" s="64"/>
      <x:c r="L87" s="56"/>
      <x:c r="M87" s="56"/>
      <x:c r="N87" s="64"/>
      <x:c r="O87" s="56"/>
      <x:c r="P87" s="56"/>
      <x:c r="Q87" s="56"/>
      <x:c r="R87" s="64"/>
      <x:c r="S87" s="56"/>
      <x:c r="T87" s="56"/>
      <x:c r="U87" s="64"/>
      <x:c r="V87" s="64"/>
      <x:c r="W87" s="56"/>
    </x:row>
    <x:row r="88">
      <x:c r="A88" s="56"/>
      <x:c r="B88" s="56"/>
      <x:c r="C88" s="56"/>
      <x:c r="D88" s="56"/>
      <x:c r="E88" s="56"/>
      <x:c r="F88" s="56"/>
      <x:c r="G88" s="56"/>
      <x:c r="H88" s="56"/>
      <x:c r="I88" s="56"/>
      <x:c r="J88" s="64"/>
      <x:c r="K88" s="64"/>
      <x:c r="L88" s="56"/>
      <x:c r="M88" s="56"/>
      <x:c r="N88" s="64"/>
      <x:c r="O88" s="56"/>
      <x:c r="P88" s="56"/>
      <x:c r="Q88" s="56"/>
      <x:c r="R88" s="64"/>
      <x:c r="S88" s="56"/>
      <x:c r="T88" s="56"/>
      <x:c r="U88" s="64"/>
      <x:c r="V88" s="64"/>
      <x:c r="W88" s="56"/>
    </x:row>
    <x:row r="89">
      <x:c r="A89" s="56"/>
      <x:c r="B89" s="56"/>
      <x:c r="C89" s="56"/>
      <x:c r="D89" s="56"/>
      <x:c r="E89" s="56"/>
      <x:c r="F89" s="56"/>
      <x:c r="G89" s="56"/>
      <x:c r="H89" s="56"/>
      <x:c r="I89" s="56"/>
      <x:c r="J89" s="64"/>
      <x:c r="K89" s="64"/>
      <x:c r="L89" s="56"/>
      <x:c r="M89" s="56"/>
      <x:c r="N89" s="64"/>
      <x:c r="O89" s="56"/>
      <x:c r="P89" s="56"/>
      <x:c r="Q89" s="56"/>
      <x:c r="R89" s="64"/>
      <x:c r="S89" s="56"/>
      <x:c r="T89" s="56"/>
      <x:c r="U89" s="64"/>
      <x:c r="V89" s="64"/>
      <x:c r="W89" s="56"/>
    </x:row>
    <x:row r="90">
      <x:c r="A90" s="56"/>
      <x:c r="B90" s="56"/>
      <x:c r="C90" s="56"/>
      <x:c r="D90" s="56"/>
      <x:c r="E90" s="56"/>
      <x:c r="F90" s="56"/>
      <x:c r="G90" s="56"/>
      <x:c r="H90" s="56"/>
      <x:c r="I90" s="56"/>
      <x:c r="J90" s="64"/>
      <x:c r="K90" s="64"/>
      <x:c r="L90" s="56"/>
      <x:c r="M90" s="56"/>
      <x:c r="N90" s="64"/>
      <x:c r="O90" s="56"/>
      <x:c r="P90" s="56"/>
      <x:c r="Q90" s="56"/>
      <x:c r="R90" s="64"/>
      <x:c r="S90" s="56"/>
      <x:c r="T90" s="56"/>
      <x:c r="U90" s="64"/>
      <x:c r="V90" s="64"/>
      <x:c r="W90" s="56"/>
    </x:row>
    <x:row r="91">
      <x:c r="A91" s="56"/>
      <x:c r="B91" s="56"/>
      <x:c r="C91" s="56"/>
      <x:c r="D91" s="56"/>
      <x:c r="E91" s="56"/>
      <x:c r="F91" s="56"/>
      <x:c r="G91" s="56"/>
      <x:c r="H91" s="56"/>
      <x:c r="I91" s="56"/>
      <x:c r="J91" s="64"/>
      <x:c r="K91" s="64"/>
      <x:c r="L91" s="56"/>
      <x:c r="M91" s="56"/>
      <x:c r="N91" s="64"/>
      <x:c r="O91" s="56"/>
      <x:c r="P91" s="56"/>
      <x:c r="Q91" s="56"/>
      <x:c r="R91" s="64"/>
      <x:c r="S91" s="56"/>
      <x:c r="T91" s="56"/>
      <x:c r="U91" s="64"/>
      <x:c r="V91" s="64"/>
      <x:c r="W91" s="56"/>
    </x:row>
    <x:row r="92">
      <x:c r="A92" s="56"/>
      <x:c r="B92" s="56"/>
      <x:c r="C92" s="56"/>
      <x:c r="D92" s="56"/>
      <x:c r="E92" s="56"/>
      <x:c r="F92" s="56"/>
      <x:c r="G92" s="56"/>
      <x:c r="H92" s="56"/>
      <x:c r="I92" s="56"/>
      <x:c r="J92" s="64"/>
      <x:c r="K92" s="64"/>
      <x:c r="L92" s="56"/>
      <x:c r="M92" s="56"/>
      <x:c r="N92" s="64"/>
      <x:c r="O92" s="56"/>
      <x:c r="P92" s="56"/>
      <x:c r="Q92" s="56"/>
      <x:c r="R92" s="64"/>
      <x:c r="S92" s="56"/>
      <x:c r="T92" s="56"/>
      <x:c r="U92" s="64"/>
      <x:c r="V92" s="64"/>
      <x:c r="W92" s="56"/>
    </x:row>
    <x:row r="93">
      <x:c r="A93" s="56"/>
      <x:c r="B93" s="56"/>
      <x:c r="C93" s="56"/>
      <x:c r="D93" s="56"/>
      <x:c r="E93" s="56"/>
      <x:c r="F93" s="56"/>
      <x:c r="G93" s="56"/>
      <x:c r="H93" s="56"/>
      <x:c r="I93" s="56"/>
      <x:c r="J93" s="64"/>
      <x:c r="K93" s="64"/>
      <x:c r="L93" s="56"/>
      <x:c r="M93" s="56"/>
      <x:c r="N93" s="64"/>
      <x:c r="O93" s="56"/>
      <x:c r="P93" s="56"/>
      <x:c r="Q93" s="56"/>
      <x:c r="R93" s="64"/>
      <x:c r="S93" s="56"/>
      <x:c r="T93" s="56"/>
      <x:c r="U93" s="64"/>
      <x:c r="V93" s="64"/>
      <x:c r="W93" s="56"/>
    </x:row>
    <x:row r="94">
      <x:c r="A94" s="56"/>
      <x:c r="B94" s="56"/>
      <x:c r="C94" s="56"/>
      <x:c r="D94" s="56"/>
      <x:c r="E94" s="56"/>
      <x:c r="F94" s="56"/>
      <x:c r="G94" s="56"/>
      <x:c r="H94" s="56"/>
      <x:c r="I94" s="56"/>
      <x:c r="J94" s="64"/>
      <x:c r="K94" s="64"/>
      <x:c r="L94" s="56"/>
      <x:c r="M94" s="56"/>
      <x:c r="N94" s="64"/>
      <x:c r="O94" s="56"/>
      <x:c r="P94" s="56"/>
      <x:c r="Q94" s="56"/>
      <x:c r="R94" s="64"/>
      <x:c r="S94" s="56"/>
      <x:c r="T94" s="56"/>
      <x:c r="U94" s="64"/>
      <x:c r="V94" s="64"/>
      <x:c r="W94" s="56"/>
    </x:row>
    <x:row r="95">
      <x:c r="A95" s="56"/>
      <x:c r="B95" s="56"/>
      <x:c r="C95" s="56"/>
      <x:c r="D95" s="56"/>
      <x:c r="E95" s="56"/>
      <x:c r="F95" s="56"/>
      <x:c r="G95" s="56"/>
      <x:c r="H95" s="56"/>
      <x:c r="I95" s="56"/>
      <x:c r="J95" s="64"/>
      <x:c r="K95" s="64"/>
      <x:c r="L95" s="56"/>
      <x:c r="M95" s="56"/>
      <x:c r="N95" s="64"/>
      <x:c r="O95" s="56"/>
      <x:c r="P95" s="56"/>
      <x:c r="Q95" s="56"/>
      <x:c r="R95" s="64"/>
      <x:c r="S95" s="56"/>
      <x:c r="T95" s="56"/>
      <x:c r="U95" s="64"/>
      <x:c r="V95" s="64"/>
      <x:c r="W95" s="56"/>
    </x:row>
    <x:row r="96">
      <x:c r="A96" s="56"/>
      <x:c r="B96" s="56"/>
      <x:c r="C96" s="56"/>
      <x:c r="D96" s="56"/>
      <x:c r="E96" s="56"/>
      <x:c r="F96" s="56"/>
      <x:c r="G96" s="56"/>
      <x:c r="H96" s="56"/>
      <x:c r="I96" s="56"/>
      <x:c r="J96" s="64"/>
      <x:c r="K96" s="64"/>
      <x:c r="L96" s="56"/>
      <x:c r="M96" s="56"/>
      <x:c r="N96" s="64"/>
      <x:c r="O96" s="56"/>
      <x:c r="P96" s="56"/>
      <x:c r="Q96" s="56"/>
      <x:c r="R96" s="64"/>
      <x:c r="S96" s="56"/>
      <x:c r="T96" s="56"/>
      <x:c r="U96" s="64"/>
      <x:c r="V96" s="64"/>
      <x:c r="W96" s="56"/>
    </x:row>
    <x:row r="97">
      <x:c r="A97" s="56"/>
      <x:c r="B97" s="56"/>
      <x:c r="C97" s="56"/>
      <x:c r="D97" s="56"/>
      <x:c r="E97" s="56"/>
      <x:c r="F97" s="56"/>
      <x:c r="G97" s="56"/>
      <x:c r="H97" s="56"/>
      <x:c r="I97" s="56"/>
      <x:c r="J97" s="64"/>
      <x:c r="K97" s="64"/>
      <x:c r="L97" s="56"/>
      <x:c r="M97" s="56"/>
      <x:c r="N97" s="64"/>
      <x:c r="O97" s="56"/>
      <x:c r="P97" s="56"/>
      <x:c r="Q97" s="56"/>
      <x:c r="R97" s="64"/>
      <x:c r="S97" s="56"/>
      <x:c r="T97" s="56"/>
      <x:c r="U97" s="64"/>
      <x:c r="V97" s="64"/>
      <x:c r="W97" s="56"/>
    </x:row>
    <x:row r="98">
      <x:c r="A98" s="56"/>
      <x:c r="B98" s="56"/>
      <x:c r="C98" s="56"/>
      <x:c r="D98" s="56"/>
      <x:c r="E98" s="56"/>
      <x:c r="F98" s="56"/>
      <x:c r="G98" s="56"/>
      <x:c r="H98" s="56"/>
      <x:c r="I98" s="56"/>
      <x:c r="J98" s="64"/>
      <x:c r="K98" s="64"/>
      <x:c r="L98" s="56"/>
      <x:c r="M98" s="56"/>
      <x:c r="N98" s="64"/>
      <x:c r="O98" s="56"/>
      <x:c r="P98" s="56"/>
      <x:c r="Q98" s="56"/>
      <x:c r="R98" s="64"/>
      <x:c r="S98" s="56"/>
      <x:c r="T98" s="56"/>
      <x:c r="U98" s="64"/>
      <x:c r="V98" s="64"/>
      <x:c r="W98" s="56"/>
    </x:row>
    <x:row r="99">
      <x:c r="A99" s="56"/>
      <x:c r="B99" s="56"/>
      <x:c r="C99" s="56"/>
      <x:c r="D99" s="56"/>
      <x:c r="E99" s="56"/>
      <x:c r="F99" s="56"/>
      <x:c r="G99" s="56"/>
      <x:c r="H99" s="56"/>
      <x:c r="I99" s="56"/>
      <x:c r="J99" s="64"/>
      <x:c r="K99" s="64"/>
      <x:c r="L99" s="56"/>
      <x:c r="M99" s="56"/>
      <x:c r="N99" s="64"/>
      <x:c r="O99" s="56"/>
      <x:c r="P99" s="56"/>
      <x:c r="Q99" s="56"/>
      <x:c r="R99" s="64"/>
      <x:c r="S99" s="56"/>
      <x:c r="T99" s="56"/>
      <x:c r="U99" s="64"/>
      <x:c r="V99" s="64"/>
      <x:c r="W99" s="56"/>
    </x:row>
    <x:row r="100">
      <x:c r="A100" s="56"/>
      <x:c r="B100" s="56"/>
      <x:c r="C100" s="56"/>
      <x:c r="D100" s="56"/>
      <x:c r="E100" s="56"/>
      <x:c r="F100" s="56"/>
      <x:c r="G100" s="56"/>
      <x:c r="H100" s="56"/>
      <x:c r="I100" s="56"/>
      <x:c r="J100" s="64"/>
      <x:c r="K100" s="64"/>
      <x:c r="L100" s="56"/>
      <x:c r="M100" s="56"/>
      <x:c r="N100" s="64"/>
      <x:c r="O100" s="56"/>
      <x:c r="P100" s="56"/>
      <x:c r="Q100" s="56"/>
      <x:c r="R100" s="64"/>
      <x:c r="S100" s="56"/>
      <x:c r="T100" s="56"/>
      <x:c r="U100" s="64"/>
      <x:c r="V100" s="64"/>
      <x:c r="W100" s="56"/>
    </x:row>
    <x:row r="101">
      <x:c r="A101" s="56"/>
      <x:c r="B101" s="56"/>
      <x:c r="C101" s="56"/>
      <x:c r="D101" s="56"/>
      <x:c r="E101" s="56"/>
      <x:c r="F101" s="56"/>
      <x:c r="G101" s="56"/>
      <x:c r="H101" s="56"/>
      <x:c r="I101" s="56"/>
      <x:c r="J101" s="64"/>
      <x:c r="K101" s="64"/>
      <x:c r="L101" s="56"/>
      <x:c r="M101" s="56"/>
      <x:c r="N101" s="64"/>
      <x:c r="O101" s="56"/>
      <x:c r="P101" s="56"/>
      <x:c r="Q101" s="56"/>
      <x:c r="R101" s="64"/>
      <x:c r="S101" s="56"/>
      <x:c r="T101" s="56"/>
      <x:c r="U101" s="64"/>
      <x:c r="V101" s="64"/>
      <x:c r="W101" s="56"/>
    </x:row>
    <x:row r="102">
      <x:c r="A102" s="56"/>
      <x:c r="B102" s="56"/>
      <x:c r="C102" s="56"/>
      <x:c r="D102" s="56"/>
      <x:c r="E102" s="56"/>
      <x:c r="F102" s="56"/>
      <x:c r="G102" s="56"/>
      <x:c r="H102" s="56"/>
      <x:c r="I102" s="56"/>
      <x:c r="J102" s="64"/>
      <x:c r="K102" s="64"/>
      <x:c r="L102" s="56"/>
      <x:c r="M102" s="56"/>
      <x:c r="N102" s="64"/>
      <x:c r="O102" s="56"/>
      <x:c r="P102" s="56"/>
      <x:c r="Q102" s="56"/>
      <x:c r="R102" s="64"/>
      <x:c r="S102" s="56"/>
      <x:c r="T102" s="56"/>
      <x:c r="U102" s="64"/>
      <x:c r="V102" s="64"/>
      <x:c r="W102" s="56"/>
    </x:row>
    <x:row r="103">
      <x:c r="A103" s="56"/>
      <x:c r="B103" s="56"/>
      <x:c r="C103" s="56"/>
      <x:c r="D103" s="56"/>
      <x:c r="E103" s="56"/>
      <x:c r="F103" s="56"/>
      <x:c r="G103" s="56"/>
      <x:c r="H103" s="56"/>
      <x:c r="I103" s="56"/>
      <x:c r="J103" s="64"/>
      <x:c r="K103" s="64"/>
      <x:c r="L103" s="56"/>
      <x:c r="M103" s="56"/>
      <x:c r="N103" s="64"/>
      <x:c r="O103" s="56"/>
      <x:c r="P103" s="56"/>
      <x:c r="Q103" s="56"/>
      <x:c r="R103" s="64"/>
      <x:c r="S103" s="56"/>
      <x:c r="T103" s="56"/>
      <x:c r="U103" s="64"/>
      <x:c r="V103" s="64"/>
      <x:c r="W103" s="56"/>
    </x:row>
    <x:row r="104">
      <x:c r="A104" s="56"/>
      <x:c r="B104" s="56"/>
      <x:c r="C104" s="56"/>
      <x:c r="D104" s="56"/>
      <x:c r="E104" s="56"/>
      <x:c r="F104" s="56"/>
      <x:c r="G104" s="56"/>
      <x:c r="H104" s="56"/>
      <x:c r="I104" s="56"/>
      <x:c r="J104" s="64"/>
      <x:c r="K104" s="64"/>
      <x:c r="L104" s="56"/>
      <x:c r="M104" s="56"/>
      <x:c r="N104" s="64"/>
      <x:c r="O104" s="56"/>
      <x:c r="P104" s="56"/>
      <x:c r="Q104" s="56"/>
      <x:c r="R104" s="64"/>
      <x:c r="S104" s="56"/>
      <x:c r="T104" s="56"/>
      <x:c r="U104" s="64"/>
      <x:c r="V104" s="64"/>
      <x:c r="W104" s="56"/>
    </x:row>
    <x:row r="105">
      <x:c r="A105" s="56"/>
      <x:c r="B105" s="56"/>
      <x:c r="C105" s="56"/>
      <x:c r="D105" s="56"/>
      <x:c r="E105" s="56"/>
      <x:c r="F105" s="56"/>
      <x:c r="G105" s="56"/>
      <x:c r="H105" s="56"/>
      <x:c r="I105" s="56"/>
      <x:c r="J105" s="64"/>
      <x:c r="K105" s="64"/>
      <x:c r="L105" s="56"/>
      <x:c r="M105" s="56"/>
      <x:c r="N105" s="64"/>
      <x:c r="O105" s="56"/>
      <x:c r="P105" s="56"/>
      <x:c r="Q105" s="56"/>
      <x:c r="R105" s="64"/>
      <x:c r="S105" s="56"/>
      <x:c r="T105" s="56"/>
      <x:c r="U105" s="64"/>
      <x:c r="V105" s="64"/>
      <x:c r="W105" s="56"/>
    </x:row>
    <x:row r="106">
      <x:c r="A106" s="56"/>
      <x:c r="B106" s="56"/>
      <x:c r="C106" s="56"/>
      <x:c r="D106" s="56"/>
      <x:c r="E106" s="56"/>
      <x:c r="F106" s="56"/>
      <x:c r="G106" s="56"/>
      <x:c r="H106" s="56"/>
      <x:c r="I106" s="56"/>
      <x:c r="J106" s="64"/>
      <x:c r="K106" s="64"/>
      <x:c r="L106" s="56"/>
      <x:c r="M106" s="56"/>
      <x:c r="N106" s="64"/>
      <x:c r="O106" s="56"/>
      <x:c r="P106" s="56"/>
      <x:c r="Q106" s="56"/>
      <x:c r="R106" s="64"/>
      <x:c r="S106" s="56"/>
      <x:c r="T106" s="56"/>
      <x:c r="U106" s="64"/>
      <x:c r="V106" s="64"/>
      <x:c r="W106" s="56"/>
    </x:row>
    <x:row r="107">
      <x:c r="A107" s="56"/>
      <x:c r="B107" s="56"/>
      <x:c r="C107" s="56"/>
      <x:c r="D107" s="56"/>
      <x:c r="E107" s="56"/>
      <x:c r="F107" s="56"/>
      <x:c r="G107" s="56"/>
      <x:c r="H107" s="56"/>
      <x:c r="I107" s="56"/>
      <x:c r="J107" s="64"/>
      <x:c r="K107" s="64"/>
      <x:c r="L107" s="56"/>
      <x:c r="M107" s="56"/>
      <x:c r="N107" s="64"/>
      <x:c r="O107" s="56"/>
      <x:c r="P107" s="56"/>
      <x:c r="Q107" s="56"/>
      <x:c r="R107" s="64"/>
      <x:c r="S107" s="56"/>
      <x:c r="T107" s="56"/>
      <x:c r="U107" s="64"/>
      <x:c r="V107" s="64"/>
      <x:c r="W107" s="56"/>
    </x:row>
    <x:row r="108">
      <x:c r="A108" s="56"/>
      <x:c r="B108" s="56"/>
      <x:c r="C108" s="56"/>
      <x:c r="D108" s="56"/>
      <x:c r="E108" s="56"/>
      <x:c r="F108" s="56"/>
      <x:c r="G108" s="56"/>
      <x:c r="H108" s="56"/>
      <x:c r="I108" s="56"/>
      <x:c r="J108" s="64"/>
      <x:c r="K108" s="64"/>
      <x:c r="L108" s="56"/>
      <x:c r="M108" s="56"/>
      <x:c r="N108" s="64"/>
      <x:c r="O108" s="56"/>
      <x:c r="P108" s="56"/>
      <x:c r="Q108" s="56"/>
      <x:c r="R108" s="64"/>
      <x:c r="S108" s="56"/>
      <x:c r="T108" s="56"/>
      <x:c r="U108" s="64"/>
      <x:c r="V108" s="64"/>
      <x:c r="W108" s="56"/>
    </x:row>
    <x:row r="109">
      <x:c r="A109" s="56"/>
      <x:c r="B109" s="56"/>
      <x:c r="C109" s="56"/>
      <x:c r="D109" s="56"/>
      <x:c r="E109" s="56"/>
      <x:c r="F109" s="56"/>
      <x:c r="G109" s="56"/>
      <x:c r="H109" s="56"/>
      <x:c r="I109" s="56"/>
      <x:c r="J109" s="64"/>
      <x:c r="K109" s="64"/>
      <x:c r="L109" s="56"/>
      <x:c r="M109" s="56"/>
      <x:c r="N109" s="64"/>
      <x:c r="O109" s="56"/>
      <x:c r="P109" s="56"/>
      <x:c r="Q109" s="56"/>
      <x:c r="R109" s="64"/>
      <x:c r="S109" s="56"/>
      <x:c r="T109" s="56"/>
      <x:c r="U109" s="64"/>
      <x:c r="V109" s="64"/>
      <x:c r="W109" s="56"/>
    </x:row>
    <x:row r="110">
      <x:c r="A110" s="56"/>
      <x:c r="B110" s="56"/>
      <x:c r="C110" s="56"/>
      <x:c r="D110" s="56"/>
      <x:c r="E110" s="56"/>
      <x:c r="F110" s="56"/>
      <x:c r="G110" s="56"/>
      <x:c r="H110" s="56"/>
      <x:c r="I110" s="56"/>
      <x:c r="J110" s="64"/>
      <x:c r="K110" s="64"/>
      <x:c r="L110" s="56"/>
      <x:c r="M110" s="56"/>
      <x:c r="N110" s="64"/>
      <x:c r="O110" s="56"/>
      <x:c r="P110" s="56"/>
      <x:c r="Q110" s="56"/>
      <x:c r="R110" s="64"/>
      <x:c r="S110" s="56"/>
      <x:c r="T110" s="56"/>
      <x:c r="U110" s="64"/>
      <x:c r="V110" s="64"/>
      <x:c r="W110" s="56"/>
    </x:row>
    <x:row r="111">
      <x:c r="A111" s="56"/>
      <x:c r="B111" s="56"/>
      <x:c r="C111" s="56"/>
      <x:c r="D111" s="56"/>
      <x:c r="E111" s="56"/>
      <x:c r="F111" s="56"/>
      <x:c r="G111" s="56"/>
      <x:c r="H111" s="56"/>
      <x:c r="I111" s="56"/>
      <x:c r="J111" s="64"/>
      <x:c r="K111" s="64"/>
      <x:c r="L111" s="56"/>
      <x:c r="M111" s="56"/>
      <x:c r="N111" s="64"/>
      <x:c r="O111" s="56"/>
      <x:c r="P111" s="56"/>
      <x:c r="Q111" s="56"/>
      <x:c r="R111" s="64"/>
      <x:c r="S111" s="56"/>
      <x:c r="T111" s="56"/>
      <x:c r="U111" s="64"/>
      <x:c r="V111" s="64"/>
      <x:c r="W111" s="56"/>
    </x:row>
    <x:row r="112">
      <x:c r="A112" s="56"/>
      <x:c r="B112" s="56"/>
      <x:c r="C112" s="56"/>
      <x:c r="D112" s="56"/>
      <x:c r="E112" s="56"/>
      <x:c r="F112" s="56"/>
      <x:c r="G112" s="56"/>
      <x:c r="H112" s="56"/>
      <x:c r="I112" s="56"/>
      <x:c r="J112" s="64"/>
      <x:c r="K112" s="64"/>
      <x:c r="L112" s="56"/>
      <x:c r="M112" s="56"/>
      <x:c r="N112" s="64"/>
      <x:c r="O112" s="56"/>
      <x:c r="P112" s="56"/>
      <x:c r="Q112" s="56"/>
      <x:c r="R112" s="64"/>
      <x:c r="S112" s="56"/>
      <x:c r="T112" s="56"/>
      <x:c r="U112" s="64"/>
      <x:c r="V112" s="64"/>
      <x:c r="W112" s="56"/>
    </x:row>
    <x:row r="113">
      <x:c r="A113" s="56"/>
      <x:c r="B113" s="56"/>
      <x:c r="C113" s="56"/>
      <x:c r="D113" s="56"/>
      <x:c r="E113" s="56"/>
      <x:c r="F113" s="56"/>
      <x:c r="G113" s="56"/>
      <x:c r="H113" s="56"/>
      <x:c r="I113" s="56"/>
      <x:c r="J113" s="64"/>
      <x:c r="K113" s="64"/>
      <x:c r="L113" s="56"/>
      <x:c r="M113" s="56"/>
      <x:c r="N113" s="64"/>
      <x:c r="O113" s="56"/>
      <x:c r="P113" s="56"/>
      <x:c r="Q113" s="56"/>
      <x:c r="R113" s="64"/>
      <x:c r="S113" s="56"/>
      <x:c r="T113" s="56"/>
      <x:c r="U113" s="64"/>
      <x:c r="V113" s="64"/>
      <x:c r="W113" s="56"/>
    </x:row>
    <x:row r="114">
      <x:c r="A114" s="56"/>
      <x:c r="B114" s="56"/>
      <x:c r="C114" s="56"/>
      <x:c r="D114" s="56"/>
      <x:c r="E114" s="56"/>
      <x:c r="F114" s="56"/>
      <x:c r="G114" s="56"/>
      <x:c r="H114" s="56"/>
      <x:c r="I114" s="56"/>
      <x:c r="J114" s="64"/>
      <x:c r="K114" s="64"/>
      <x:c r="L114" s="56"/>
      <x:c r="M114" s="56"/>
      <x:c r="N114" s="64"/>
      <x:c r="O114" s="56"/>
      <x:c r="P114" s="56"/>
      <x:c r="Q114" s="56"/>
      <x:c r="R114" s="64"/>
      <x:c r="S114" s="56"/>
      <x:c r="T114" s="56"/>
      <x:c r="U114" s="64"/>
      <x:c r="V114" s="64"/>
      <x:c r="W114" s="56"/>
    </x:row>
    <x:row r="115">
      <x:c r="A115" s="56"/>
      <x:c r="B115" s="56"/>
      <x:c r="C115" s="56"/>
      <x:c r="D115" s="56"/>
      <x:c r="E115" s="56"/>
      <x:c r="F115" s="56"/>
      <x:c r="G115" s="56"/>
      <x:c r="H115" s="56"/>
      <x:c r="I115" s="56"/>
      <x:c r="J115" s="64"/>
      <x:c r="K115" s="64"/>
      <x:c r="L115" s="56"/>
      <x:c r="M115" s="56"/>
      <x:c r="N115" s="64"/>
      <x:c r="O115" s="56"/>
      <x:c r="P115" s="56"/>
      <x:c r="Q115" s="56"/>
      <x:c r="R115" s="64"/>
      <x:c r="S115" s="56"/>
      <x:c r="T115" s="56"/>
      <x:c r="U115" s="64"/>
      <x:c r="V115" s="64"/>
      <x:c r="W115" s="56"/>
    </x:row>
    <x:row r="116">
      <x:c r="A116" s="56"/>
      <x:c r="B116" s="56"/>
      <x:c r="C116" s="56"/>
      <x:c r="D116" s="56"/>
      <x:c r="E116" s="56"/>
      <x:c r="F116" s="56"/>
      <x:c r="G116" s="56"/>
      <x:c r="H116" s="56"/>
      <x:c r="I116" s="56"/>
      <x:c r="J116" s="64"/>
      <x:c r="K116" s="64"/>
      <x:c r="L116" s="56"/>
      <x:c r="M116" s="56"/>
      <x:c r="N116" s="64"/>
      <x:c r="O116" s="56"/>
      <x:c r="P116" s="56"/>
      <x:c r="Q116" s="56"/>
      <x:c r="R116" s="64"/>
      <x:c r="S116" s="56"/>
      <x:c r="T116" s="56"/>
      <x:c r="U116" s="64"/>
      <x:c r="V116" s="64"/>
      <x:c r="W116" s="56"/>
    </x:row>
    <x:row r="117">
      <x:c r="A117" s="56"/>
      <x:c r="B117" s="56"/>
      <x:c r="C117" s="56"/>
      <x:c r="D117" s="56"/>
      <x:c r="E117" s="56"/>
      <x:c r="F117" s="56"/>
      <x:c r="G117" s="56"/>
      <x:c r="H117" s="56"/>
      <x:c r="I117" s="56"/>
      <x:c r="J117" s="64"/>
      <x:c r="K117" s="64"/>
      <x:c r="L117" s="56"/>
      <x:c r="M117" s="56"/>
      <x:c r="N117" s="64"/>
      <x:c r="O117" s="56"/>
      <x:c r="P117" s="56"/>
      <x:c r="Q117" s="56"/>
      <x:c r="R117" s="64"/>
      <x:c r="S117" s="56"/>
      <x:c r="T117" s="56"/>
      <x:c r="U117" s="64"/>
      <x:c r="V117" s="64"/>
      <x:c r="W117" s="56"/>
    </x:row>
    <x:row r="118">
      <x:c r="A118" s="56"/>
      <x:c r="B118" s="56"/>
      <x:c r="C118" s="56"/>
      <x:c r="D118" s="56"/>
      <x:c r="E118" s="56"/>
      <x:c r="F118" s="56"/>
      <x:c r="G118" s="56"/>
      <x:c r="H118" s="56"/>
      <x:c r="I118" s="56"/>
      <x:c r="J118" s="64"/>
      <x:c r="K118" s="64"/>
      <x:c r="L118" s="56"/>
      <x:c r="M118" s="56"/>
      <x:c r="N118" s="64"/>
      <x:c r="O118" s="56"/>
      <x:c r="P118" s="56"/>
      <x:c r="Q118" s="56"/>
      <x:c r="R118" s="64"/>
      <x:c r="S118" s="56"/>
      <x:c r="T118" s="56"/>
      <x:c r="U118" s="64"/>
      <x:c r="V118" s="64"/>
      <x:c r="W118" s="56"/>
    </x:row>
    <x:row r="119">
      <x:c r="A119" s="56"/>
      <x:c r="B119" s="56"/>
      <x:c r="C119" s="56"/>
      <x:c r="D119" s="56"/>
      <x:c r="E119" s="56"/>
      <x:c r="F119" s="56"/>
      <x:c r="G119" s="56"/>
      <x:c r="H119" s="56"/>
      <x:c r="I119" s="56"/>
      <x:c r="J119" s="64"/>
      <x:c r="K119" s="64"/>
      <x:c r="L119" s="56"/>
      <x:c r="M119" s="56"/>
      <x:c r="N119" s="64"/>
      <x:c r="O119" s="56"/>
      <x:c r="P119" s="56"/>
      <x:c r="Q119" s="56"/>
      <x:c r="R119" s="64"/>
      <x:c r="S119" s="56"/>
      <x:c r="T119" s="56"/>
      <x:c r="U119" s="64"/>
      <x:c r="V119" s="64"/>
      <x:c r="W119" s="56"/>
    </x:row>
    <x:row r="120">
      <x:c r="A120" s="56"/>
      <x:c r="B120" s="56"/>
      <x:c r="C120" s="56"/>
      <x:c r="D120" s="56"/>
      <x:c r="E120" s="56"/>
      <x:c r="F120" s="56"/>
      <x:c r="G120" s="56"/>
      <x:c r="H120" s="56"/>
      <x:c r="I120" s="56"/>
      <x:c r="J120" s="64"/>
      <x:c r="K120" s="64"/>
      <x:c r="L120" s="56"/>
      <x:c r="M120" s="56"/>
      <x:c r="N120" s="64"/>
      <x:c r="O120" s="56"/>
      <x:c r="P120" s="56"/>
      <x:c r="Q120" s="56"/>
      <x:c r="R120" s="64"/>
      <x:c r="S120" s="56"/>
      <x:c r="T120" s="56"/>
      <x:c r="U120" s="64"/>
      <x:c r="V120" s="64"/>
      <x:c r="W120" s="56"/>
    </x:row>
    <x:row r="121">
      <x:c r="A121" s="56"/>
      <x:c r="B121" s="56"/>
      <x:c r="C121" s="56"/>
      <x:c r="D121" s="56"/>
      <x:c r="E121" s="56"/>
      <x:c r="F121" s="56"/>
      <x:c r="G121" s="56"/>
      <x:c r="H121" s="56"/>
      <x:c r="I121" s="56"/>
      <x:c r="J121" s="64"/>
      <x:c r="K121" s="64"/>
      <x:c r="L121" s="56"/>
      <x:c r="M121" s="56"/>
      <x:c r="N121" s="64"/>
      <x:c r="O121" s="56"/>
      <x:c r="P121" s="56"/>
      <x:c r="Q121" s="56"/>
      <x:c r="R121" s="64"/>
      <x:c r="S121" s="56"/>
      <x:c r="T121" s="56"/>
      <x:c r="U121" s="64"/>
      <x:c r="V121" s="64"/>
      <x:c r="W121" s="56"/>
    </x:row>
    <x:row r="122">
      <x:c r="A122" s="56"/>
      <x:c r="B122" s="56"/>
      <x:c r="C122" s="56"/>
      <x:c r="D122" s="56"/>
      <x:c r="E122" s="56"/>
      <x:c r="F122" s="56"/>
      <x:c r="G122" s="56"/>
      <x:c r="H122" s="56"/>
      <x:c r="I122" s="56"/>
      <x:c r="J122" s="64"/>
      <x:c r="K122" s="64"/>
      <x:c r="L122" s="56"/>
      <x:c r="M122" s="56"/>
      <x:c r="N122" s="64"/>
      <x:c r="O122" s="56"/>
      <x:c r="P122" s="56"/>
      <x:c r="Q122" s="56"/>
      <x:c r="R122" s="64"/>
      <x:c r="S122" s="56"/>
      <x:c r="T122" s="56"/>
      <x:c r="U122" s="64"/>
      <x:c r="V122" s="64"/>
      <x:c r="W122" s="56"/>
    </x:row>
    <x:row r="123">
      <x:c r="A123" s="56"/>
      <x:c r="B123" s="56"/>
      <x:c r="C123" s="56"/>
      <x:c r="D123" s="56"/>
      <x:c r="E123" s="56"/>
      <x:c r="F123" s="56"/>
      <x:c r="G123" s="56"/>
      <x:c r="H123" s="56"/>
      <x:c r="I123" s="56"/>
      <x:c r="J123" s="64"/>
      <x:c r="K123" s="64"/>
      <x:c r="L123" s="56"/>
      <x:c r="M123" s="56"/>
      <x:c r="N123" s="64"/>
      <x:c r="O123" s="56"/>
      <x:c r="P123" s="56"/>
      <x:c r="Q123" s="56"/>
      <x:c r="R123" s="64"/>
      <x:c r="S123" s="56"/>
      <x:c r="T123" s="56"/>
      <x:c r="U123" s="64"/>
      <x:c r="V123" s="64"/>
      <x:c r="W123" s="56"/>
    </x:row>
    <x:row r="124">
      <x:c r="A124" s="56"/>
      <x:c r="B124" s="56"/>
      <x:c r="C124" s="56"/>
      <x:c r="D124" s="56"/>
      <x:c r="E124" s="56"/>
      <x:c r="F124" s="56"/>
      <x:c r="G124" s="56"/>
      <x:c r="H124" s="56"/>
      <x:c r="I124" s="56"/>
      <x:c r="J124" s="64"/>
      <x:c r="K124" s="64"/>
      <x:c r="L124" s="56"/>
      <x:c r="M124" s="56"/>
      <x:c r="N124" s="64"/>
      <x:c r="O124" s="56"/>
      <x:c r="P124" s="56"/>
      <x:c r="Q124" s="56"/>
      <x:c r="R124" s="64"/>
      <x:c r="S124" s="56"/>
      <x:c r="T124" s="56"/>
      <x:c r="U124" s="64"/>
      <x:c r="V124" s="64"/>
      <x:c r="W124" s="56"/>
    </x:row>
    <x:row r="125">
      <x:c r="A125" s="56"/>
      <x:c r="B125" s="56"/>
      <x:c r="C125" s="56"/>
      <x:c r="D125" s="56"/>
      <x:c r="E125" s="56"/>
      <x:c r="F125" s="56"/>
      <x:c r="G125" s="56"/>
      <x:c r="H125" s="56"/>
      <x:c r="I125" s="56"/>
      <x:c r="J125" s="64"/>
      <x:c r="K125" s="64"/>
      <x:c r="L125" s="56"/>
      <x:c r="M125" s="56"/>
      <x:c r="N125" s="64"/>
      <x:c r="O125" s="56"/>
      <x:c r="P125" s="56"/>
      <x:c r="Q125" s="56"/>
      <x:c r="R125" s="64"/>
      <x:c r="S125" s="56"/>
      <x:c r="T125" s="56"/>
      <x:c r="U125" s="64"/>
      <x:c r="V125" s="64"/>
      <x:c r="W125" s="56"/>
    </x:row>
    <x:row r="126">
      <x:c r="A126" s="56"/>
      <x:c r="B126" s="56"/>
      <x:c r="C126" s="56"/>
      <x:c r="D126" s="56"/>
      <x:c r="E126" s="56"/>
      <x:c r="F126" s="56"/>
      <x:c r="G126" s="56"/>
      <x:c r="H126" s="56"/>
      <x:c r="I126" s="56"/>
      <x:c r="J126" s="64"/>
      <x:c r="K126" s="64"/>
      <x:c r="L126" s="56"/>
      <x:c r="M126" s="56"/>
      <x:c r="N126" s="64"/>
      <x:c r="O126" s="56"/>
      <x:c r="P126" s="56"/>
      <x:c r="Q126" s="56"/>
      <x:c r="R126" s="64"/>
      <x:c r="S126" s="56"/>
      <x:c r="T126" s="56"/>
      <x:c r="U126" s="64"/>
      <x:c r="V126" s="64"/>
      <x:c r="W126" s="56"/>
    </x:row>
    <x:row r="127">
      <x:c r="A127" s="56"/>
      <x:c r="B127" s="56"/>
      <x:c r="C127" s="56"/>
      <x:c r="D127" s="56"/>
      <x:c r="E127" s="56"/>
      <x:c r="F127" s="56"/>
      <x:c r="G127" s="56"/>
      <x:c r="H127" s="56"/>
      <x:c r="I127" s="56"/>
      <x:c r="J127" s="64"/>
      <x:c r="K127" s="64"/>
      <x:c r="L127" s="56"/>
      <x:c r="M127" s="56"/>
      <x:c r="N127" s="64"/>
      <x:c r="O127" s="56"/>
      <x:c r="P127" s="56"/>
      <x:c r="Q127" s="56"/>
      <x:c r="R127" s="64"/>
      <x:c r="S127" s="56"/>
      <x:c r="T127" s="56"/>
      <x:c r="U127" s="64"/>
      <x:c r="V127" s="64"/>
      <x:c r="W127" s="56"/>
    </x:row>
    <x:row r="128">
      <x:c r="A128" s="56"/>
      <x:c r="B128" s="56"/>
      <x:c r="C128" s="56"/>
      <x:c r="D128" s="56"/>
      <x:c r="E128" s="56"/>
      <x:c r="F128" s="56"/>
      <x:c r="G128" s="56"/>
      <x:c r="H128" s="56"/>
      <x:c r="I128" s="56"/>
      <x:c r="J128" s="64"/>
      <x:c r="K128" s="64"/>
      <x:c r="L128" s="56"/>
      <x:c r="M128" s="56"/>
      <x:c r="N128" s="64"/>
      <x:c r="O128" s="56"/>
      <x:c r="P128" s="56"/>
      <x:c r="Q128" s="56"/>
      <x:c r="R128" s="64"/>
      <x:c r="S128" s="56"/>
      <x:c r="T128" s="56"/>
      <x:c r="U128" s="64"/>
      <x:c r="V128" s="64"/>
      <x:c r="W128" s="56"/>
    </x:row>
    <x:row r="129">
      <x:c r="A129" s="56"/>
      <x:c r="B129" s="56"/>
      <x:c r="C129" s="56"/>
      <x:c r="D129" s="56"/>
      <x:c r="E129" s="56"/>
      <x:c r="F129" s="56"/>
      <x:c r="G129" s="56"/>
      <x:c r="H129" s="56"/>
      <x:c r="I129" s="56"/>
      <x:c r="J129" s="64"/>
      <x:c r="K129" s="64"/>
      <x:c r="L129" s="56"/>
      <x:c r="M129" s="56"/>
      <x:c r="N129" s="64"/>
      <x:c r="O129" s="56"/>
      <x:c r="P129" s="56"/>
      <x:c r="Q129" s="56"/>
      <x:c r="R129" s="64"/>
      <x:c r="S129" s="56"/>
      <x:c r="T129" s="56"/>
      <x:c r="U129" s="64"/>
      <x:c r="V129" s="64"/>
      <x:c r="W129" s="56"/>
    </x:row>
    <x:row r="130">
      <x:c r="A130" s="56"/>
      <x:c r="B130" s="56"/>
      <x:c r="C130" s="56"/>
      <x:c r="D130" s="56"/>
      <x:c r="E130" s="56"/>
      <x:c r="F130" s="56"/>
      <x:c r="G130" s="56"/>
      <x:c r="H130" s="56"/>
      <x:c r="I130" s="56"/>
      <x:c r="J130" s="64"/>
      <x:c r="K130" s="64"/>
      <x:c r="L130" s="56"/>
      <x:c r="M130" s="56"/>
      <x:c r="N130" s="64"/>
      <x:c r="O130" s="56"/>
      <x:c r="P130" s="56"/>
      <x:c r="Q130" s="56"/>
      <x:c r="R130" s="64"/>
      <x:c r="S130" s="56"/>
      <x:c r="T130" s="56"/>
      <x:c r="U130" s="64"/>
      <x:c r="V130" s="64"/>
      <x:c r="W130" s="56"/>
    </x:row>
    <x:row r="131">
      <x:c r="A131" s="56"/>
      <x:c r="B131" s="56"/>
      <x:c r="C131" s="56"/>
      <x:c r="D131" s="56"/>
      <x:c r="E131" s="56"/>
      <x:c r="F131" s="56"/>
      <x:c r="G131" s="56"/>
      <x:c r="H131" s="56"/>
      <x:c r="I131" s="56"/>
      <x:c r="J131" s="64"/>
      <x:c r="K131" s="64"/>
      <x:c r="L131" s="56"/>
      <x:c r="M131" s="56"/>
      <x:c r="N131" s="64"/>
      <x:c r="O131" s="56"/>
      <x:c r="P131" s="56"/>
      <x:c r="Q131" s="56"/>
      <x:c r="R131" s="64"/>
      <x:c r="S131" s="56"/>
      <x:c r="T131" s="56"/>
      <x:c r="U131" s="64"/>
      <x:c r="V131" s="64"/>
      <x:c r="W131" s="56"/>
    </x:row>
    <x:row r="132">
      <x:c r="A132" s="56"/>
      <x:c r="B132" s="56"/>
      <x:c r="C132" s="56"/>
      <x:c r="D132" s="56"/>
      <x:c r="E132" s="56"/>
      <x:c r="F132" s="56"/>
      <x:c r="G132" s="56"/>
      <x:c r="H132" s="56"/>
      <x:c r="I132" s="56"/>
      <x:c r="J132" s="64"/>
      <x:c r="K132" s="64"/>
      <x:c r="L132" s="56"/>
      <x:c r="M132" s="56"/>
      <x:c r="N132" s="64"/>
      <x:c r="O132" s="56"/>
      <x:c r="P132" s="56"/>
      <x:c r="Q132" s="56"/>
      <x:c r="R132" s="64"/>
      <x:c r="S132" s="56"/>
      <x:c r="T132" s="56"/>
      <x:c r="U132" s="64"/>
      <x:c r="V132" s="64"/>
      <x:c r="W132" s="56"/>
    </x:row>
    <x:row r="133">
      <x:c r="A133" s="56"/>
      <x:c r="B133" s="56"/>
      <x:c r="C133" s="56"/>
      <x:c r="D133" s="56"/>
      <x:c r="E133" s="56"/>
      <x:c r="F133" s="56"/>
      <x:c r="G133" s="56"/>
      <x:c r="H133" s="56"/>
      <x:c r="I133" s="56"/>
      <x:c r="J133" s="64"/>
      <x:c r="K133" s="64"/>
      <x:c r="L133" s="56"/>
      <x:c r="M133" s="56"/>
      <x:c r="N133" s="64"/>
      <x:c r="O133" s="56"/>
      <x:c r="P133" s="56"/>
      <x:c r="Q133" s="56"/>
      <x:c r="R133" s="64"/>
      <x:c r="S133" s="56"/>
      <x:c r="T133" s="56"/>
      <x:c r="U133" s="64"/>
      <x:c r="V133" s="64"/>
      <x:c r="W133" s="56"/>
    </x:row>
    <x:row r="134">
      <x:c r="A134" s="56"/>
      <x:c r="B134" s="56"/>
      <x:c r="C134" s="56"/>
      <x:c r="D134" s="56"/>
      <x:c r="E134" s="56"/>
      <x:c r="F134" s="56"/>
      <x:c r="G134" s="56"/>
      <x:c r="H134" s="56"/>
      <x:c r="I134" s="56"/>
      <x:c r="J134" s="64"/>
      <x:c r="K134" s="64"/>
      <x:c r="L134" s="56"/>
      <x:c r="M134" s="56"/>
      <x:c r="N134" s="64"/>
      <x:c r="O134" s="56"/>
      <x:c r="P134" s="56"/>
      <x:c r="Q134" s="56"/>
      <x:c r="R134" s="64"/>
      <x:c r="S134" s="56"/>
      <x:c r="T134" s="56"/>
      <x:c r="U134" s="64"/>
      <x:c r="V134" s="64"/>
      <x:c r="W134" s="56"/>
    </x:row>
    <x:row r="135">
      <x:c r="A135" s="56"/>
      <x:c r="B135" s="56"/>
      <x:c r="C135" s="56"/>
      <x:c r="D135" s="56"/>
      <x:c r="E135" s="56"/>
      <x:c r="F135" s="56"/>
      <x:c r="G135" s="56"/>
      <x:c r="H135" s="56"/>
      <x:c r="I135" s="56"/>
      <x:c r="J135" s="64"/>
      <x:c r="K135" s="64"/>
      <x:c r="L135" s="56"/>
      <x:c r="M135" s="56"/>
      <x:c r="N135" s="64"/>
      <x:c r="O135" s="56"/>
      <x:c r="P135" s="56"/>
      <x:c r="Q135" s="56"/>
      <x:c r="R135" s="64"/>
      <x:c r="S135" s="56"/>
      <x:c r="T135" s="56"/>
      <x:c r="U135" s="64"/>
      <x:c r="V135" s="64"/>
      <x:c r="W135" s="56"/>
    </x:row>
    <x:row r="136">
      <x:c r="A136" s="56"/>
      <x:c r="B136" s="56"/>
      <x:c r="C136" s="56"/>
      <x:c r="D136" s="56"/>
      <x:c r="E136" s="56"/>
      <x:c r="F136" s="56"/>
      <x:c r="G136" s="56"/>
      <x:c r="H136" s="56"/>
      <x:c r="I136" s="56"/>
      <x:c r="J136" s="64"/>
      <x:c r="K136" s="64"/>
      <x:c r="L136" s="56"/>
      <x:c r="M136" s="56"/>
      <x:c r="N136" s="64"/>
      <x:c r="O136" s="56"/>
      <x:c r="P136" s="56"/>
      <x:c r="Q136" s="56"/>
      <x:c r="R136" s="64"/>
      <x:c r="S136" s="56"/>
      <x:c r="T136" s="56"/>
      <x:c r="U136" s="64"/>
      <x:c r="V136" s="64"/>
      <x:c r="W136" s="56"/>
    </x:row>
    <x:row r="137">
      <x:c r="A137" s="56"/>
      <x:c r="B137" s="56"/>
      <x:c r="C137" s="56"/>
      <x:c r="D137" s="56"/>
      <x:c r="E137" s="56"/>
      <x:c r="F137" s="56"/>
      <x:c r="G137" s="56"/>
      <x:c r="H137" s="56"/>
      <x:c r="I137" s="56"/>
      <x:c r="J137" s="64"/>
      <x:c r="K137" s="64"/>
      <x:c r="L137" s="56"/>
      <x:c r="M137" s="56"/>
      <x:c r="N137" s="64"/>
      <x:c r="O137" s="56"/>
      <x:c r="P137" s="56"/>
      <x:c r="Q137" s="56"/>
      <x:c r="R137" s="64"/>
      <x:c r="S137" s="56"/>
      <x:c r="T137" s="56"/>
      <x:c r="U137" s="64"/>
      <x:c r="V137" s="64"/>
      <x:c r="W137" s="56"/>
    </x:row>
    <x:row r="138">
      <x:c r="A138" s="56"/>
      <x:c r="B138" s="56"/>
      <x:c r="C138" s="56"/>
      <x:c r="D138" s="56"/>
      <x:c r="E138" s="56"/>
      <x:c r="F138" s="56"/>
      <x:c r="G138" s="56"/>
      <x:c r="H138" s="56"/>
      <x:c r="I138" s="56"/>
      <x:c r="J138" s="64"/>
      <x:c r="K138" s="64"/>
      <x:c r="L138" s="56"/>
      <x:c r="M138" s="56"/>
      <x:c r="N138" s="64"/>
      <x:c r="O138" s="56"/>
      <x:c r="P138" s="56"/>
      <x:c r="Q138" s="56"/>
      <x:c r="R138" s="64"/>
      <x:c r="S138" s="56"/>
      <x:c r="T138" s="56"/>
      <x:c r="U138" s="64"/>
      <x:c r="V138" s="64"/>
      <x:c r="W138" s="56"/>
    </x:row>
    <x:row r="139">
      <x:c r="A139" s="56"/>
      <x:c r="B139" s="56"/>
      <x:c r="C139" s="56"/>
      <x:c r="D139" s="56"/>
      <x:c r="E139" s="56"/>
      <x:c r="F139" s="56"/>
      <x:c r="G139" s="56"/>
      <x:c r="H139" s="56"/>
      <x:c r="I139" s="56"/>
      <x:c r="J139" s="64"/>
      <x:c r="K139" s="64"/>
      <x:c r="L139" s="56"/>
      <x:c r="M139" s="56"/>
      <x:c r="N139" s="64"/>
      <x:c r="O139" s="56"/>
      <x:c r="P139" s="56"/>
      <x:c r="Q139" s="56"/>
      <x:c r="R139" s="64"/>
      <x:c r="S139" s="56"/>
      <x:c r="T139" s="56"/>
      <x:c r="U139" s="64"/>
      <x:c r="V139" s="64"/>
      <x:c r="W139" s="56"/>
    </x:row>
    <x:row r="140">
      <x:c r="A140" s="56"/>
      <x:c r="B140" s="56"/>
      <x:c r="C140" s="56"/>
      <x:c r="D140" s="56"/>
      <x:c r="E140" s="56"/>
      <x:c r="F140" s="56"/>
      <x:c r="G140" s="56"/>
      <x:c r="H140" s="56"/>
      <x:c r="I140" s="56"/>
      <x:c r="J140" s="64"/>
      <x:c r="K140" s="64"/>
      <x:c r="L140" s="56"/>
      <x:c r="M140" s="56"/>
      <x:c r="N140" s="64"/>
      <x:c r="O140" s="56"/>
      <x:c r="P140" s="56"/>
      <x:c r="Q140" s="56"/>
      <x:c r="R140" s="64"/>
      <x:c r="S140" s="56"/>
      <x:c r="T140" s="56"/>
      <x:c r="U140" s="64"/>
      <x:c r="V140" s="64"/>
      <x:c r="W140" s="56"/>
    </x:row>
    <x:row r="141">
      <x:c r="A141" s="56"/>
      <x:c r="B141" s="56"/>
      <x:c r="C141" s="56"/>
      <x:c r="D141" s="56"/>
      <x:c r="E141" s="56"/>
      <x:c r="F141" s="56"/>
      <x:c r="G141" s="56"/>
      <x:c r="H141" s="56"/>
      <x:c r="I141" s="56"/>
      <x:c r="J141" s="64"/>
      <x:c r="K141" s="64"/>
      <x:c r="L141" s="56"/>
      <x:c r="M141" s="56"/>
      <x:c r="N141" s="64"/>
      <x:c r="O141" s="56"/>
      <x:c r="P141" s="56"/>
      <x:c r="Q141" s="56"/>
      <x:c r="R141" s="64"/>
      <x:c r="S141" s="56"/>
      <x:c r="T141" s="56"/>
      <x:c r="U141" s="64"/>
      <x:c r="V141" s="64"/>
      <x:c r="W141" s="56"/>
    </x:row>
    <x:row r="142">
      <x:c r="A142" s="56"/>
      <x:c r="B142" s="56"/>
      <x:c r="C142" s="56"/>
      <x:c r="D142" s="56"/>
      <x:c r="E142" s="56"/>
      <x:c r="F142" s="56"/>
      <x:c r="G142" s="56"/>
      <x:c r="H142" s="56"/>
      <x:c r="I142" s="56"/>
      <x:c r="J142" s="64"/>
      <x:c r="K142" s="64"/>
      <x:c r="L142" s="56"/>
      <x:c r="M142" s="56"/>
      <x:c r="N142" s="64"/>
      <x:c r="O142" s="56"/>
      <x:c r="P142" s="56"/>
      <x:c r="Q142" s="56"/>
      <x:c r="R142" s="64"/>
      <x:c r="S142" s="56"/>
      <x:c r="T142" s="56"/>
      <x:c r="U142" s="64"/>
      <x:c r="V142" s="64"/>
      <x:c r="W142" s="56"/>
    </x:row>
    <x:row r="143">
      <x:c r="A143" s="56"/>
      <x:c r="B143" s="56"/>
      <x:c r="C143" s="56"/>
      <x:c r="D143" s="56"/>
      <x:c r="E143" s="56"/>
      <x:c r="F143" s="56"/>
      <x:c r="G143" s="56"/>
      <x:c r="H143" s="56"/>
      <x:c r="I143" s="56"/>
      <x:c r="J143" s="64"/>
      <x:c r="K143" s="64"/>
      <x:c r="L143" s="56"/>
      <x:c r="M143" s="56"/>
      <x:c r="N143" s="64"/>
      <x:c r="O143" s="56"/>
      <x:c r="P143" s="56"/>
      <x:c r="Q143" s="56"/>
      <x:c r="R143" s="64"/>
      <x:c r="S143" s="56"/>
      <x:c r="T143" s="56"/>
      <x:c r="U143" s="64"/>
      <x:c r="V143" s="64"/>
      <x:c r="W143" s="56"/>
    </x:row>
    <x:row r="144">
      <x:c r="A144" s="56"/>
      <x:c r="B144" s="56"/>
      <x:c r="C144" s="56"/>
      <x:c r="D144" s="56"/>
      <x:c r="E144" s="56"/>
      <x:c r="F144" s="56"/>
      <x:c r="G144" s="56"/>
      <x:c r="H144" s="56"/>
      <x:c r="I144" s="56"/>
      <x:c r="J144" s="64"/>
      <x:c r="K144" s="64"/>
      <x:c r="L144" s="56"/>
      <x:c r="M144" s="56"/>
      <x:c r="N144" s="64"/>
      <x:c r="O144" s="56"/>
      <x:c r="P144" s="56"/>
      <x:c r="Q144" s="56"/>
      <x:c r="R144" s="64"/>
      <x:c r="S144" s="56"/>
      <x:c r="T144" s="56"/>
      <x:c r="U144" s="64"/>
      <x:c r="V144" s="64"/>
      <x:c r="W144" s="56"/>
    </x:row>
    <x:row r="145">
      <x:c r="A145" s="56"/>
      <x:c r="B145" s="56"/>
      <x:c r="C145" s="56"/>
      <x:c r="D145" s="56"/>
      <x:c r="E145" s="56"/>
      <x:c r="F145" s="56"/>
      <x:c r="G145" s="56"/>
      <x:c r="H145" s="56"/>
      <x:c r="I145" s="56"/>
      <x:c r="J145" s="64"/>
      <x:c r="K145" s="64"/>
      <x:c r="L145" s="56"/>
      <x:c r="M145" s="56"/>
      <x:c r="N145" s="64"/>
      <x:c r="O145" s="56"/>
      <x:c r="P145" s="56"/>
      <x:c r="Q145" s="56"/>
      <x:c r="R145" s="64"/>
      <x:c r="S145" s="56"/>
      <x:c r="T145" s="56"/>
      <x:c r="U145" s="64"/>
      <x:c r="V145" s="64"/>
      <x:c r="W145" s="56"/>
    </x:row>
    <x:row r="146">
      <x:c r="A146" s="56"/>
      <x:c r="B146" s="56"/>
      <x:c r="C146" s="56"/>
      <x:c r="D146" s="56"/>
      <x:c r="E146" s="56"/>
      <x:c r="F146" s="56"/>
      <x:c r="G146" s="56"/>
      <x:c r="H146" s="56"/>
      <x:c r="I146" s="56"/>
      <x:c r="J146" s="64"/>
      <x:c r="K146" s="64"/>
      <x:c r="L146" s="56"/>
      <x:c r="M146" s="56"/>
      <x:c r="N146" s="64"/>
      <x:c r="O146" s="56"/>
      <x:c r="P146" s="56"/>
      <x:c r="Q146" s="56"/>
      <x:c r="R146" s="64"/>
      <x:c r="S146" s="56"/>
      <x:c r="T146" s="56"/>
      <x:c r="U146" s="64"/>
      <x:c r="V146" s="64"/>
      <x:c r="W146" s="56"/>
    </x:row>
    <x:row r="147">
      <x:c r="A147" s="56"/>
      <x:c r="B147" s="56"/>
      <x:c r="C147" s="56"/>
      <x:c r="D147" s="56"/>
      <x:c r="E147" s="56"/>
      <x:c r="F147" s="56"/>
      <x:c r="G147" s="56"/>
      <x:c r="H147" s="56"/>
      <x:c r="I147" s="56"/>
      <x:c r="J147" s="64"/>
      <x:c r="K147" s="64"/>
      <x:c r="L147" s="56"/>
      <x:c r="M147" s="56"/>
      <x:c r="N147" s="64"/>
      <x:c r="O147" s="56"/>
      <x:c r="P147" s="56"/>
      <x:c r="Q147" s="56"/>
      <x:c r="R147" s="64"/>
      <x:c r="S147" s="56"/>
      <x:c r="T147" s="56"/>
      <x:c r="U147" s="64"/>
      <x:c r="V147" s="64"/>
      <x:c r="W147" s="56"/>
    </x:row>
    <x:row r="148">
      <x:c r="A148" s="56"/>
      <x:c r="B148" s="56"/>
      <x:c r="C148" s="56"/>
      <x:c r="D148" s="56"/>
      <x:c r="E148" s="56"/>
      <x:c r="F148" s="56"/>
      <x:c r="G148" s="56"/>
      <x:c r="H148" s="56"/>
      <x:c r="I148" s="56"/>
      <x:c r="J148" s="64"/>
      <x:c r="K148" s="64"/>
      <x:c r="L148" s="56"/>
      <x:c r="M148" s="56"/>
      <x:c r="N148" s="64"/>
      <x:c r="O148" s="56"/>
      <x:c r="P148" s="56"/>
      <x:c r="Q148" s="56"/>
      <x:c r="R148" s="64"/>
      <x:c r="S148" s="56"/>
      <x:c r="T148" s="56"/>
      <x:c r="U148" s="64"/>
      <x:c r="V148" s="64"/>
      <x:c r="W148" s="56"/>
    </x:row>
    <x:row r="149">
      <x:c r="A149" s="56"/>
      <x:c r="B149" s="56"/>
      <x:c r="C149" s="56"/>
      <x:c r="D149" s="56"/>
      <x:c r="E149" s="56"/>
      <x:c r="F149" s="56"/>
      <x:c r="G149" s="56"/>
      <x:c r="H149" s="56"/>
      <x:c r="I149" s="56"/>
      <x:c r="J149" s="64"/>
      <x:c r="K149" s="64"/>
      <x:c r="L149" s="56"/>
      <x:c r="M149" s="56"/>
      <x:c r="N149" s="64"/>
      <x:c r="O149" s="56"/>
      <x:c r="P149" s="56"/>
      <x:c r="Q149" s="56"/>
      <x:c r="R149" s="64"/>
      <x:c r="S149" s="56"/>
      <x:c r="T149" s="56"/>
      <x:c r="U149" s="64"/>
      <x:c r="V149" s="64"/>
      <x:c r="W149" s="56"/>
    </x:row>
    <x:row r="150">
      <x:c r="A150" s="56"/>
      <x:c r="B150" s="56"/>
      <x:c r="C150" s="56"/>
      <x:c r="D150" s="56"/>
      <x:c r="E150" s="56"/>
      <x:c r="F150" s="56"/>
      <x:c r="G150" s="56"/>
      <x:c r="H150" s="56"/>
      <x:c r="I150" s="56"/>
      <x:c r="J150" s="64"/>
      <x:c r="K150" s="64"/>
      <x:c r="L150" s="56"/>
      <x:c r="M150" s="56"/>
      <x:c r="N150" s="64"/>
      <x:c r="O150" s="56"/>
      <x:c r="P150" s="56"/>
      <x:c r="Q150" s="56"/>
      <x:c r="R150" s="64"/>
      <x:c r="S150" s="56"/>
      <x:c r="T150" s="56"/>
      <x:c r="U150" s="64"/>
      <x:c r="V150" s="64"/>
      <x:c r="W150" s="56"/>
    </x:row>
    <x:row r="151">
      <x:c r="A151" s="56"/>
      <x:c r="B151" s="56"/>
      <x:c r="C151" s="56"/>
      <x:c r="D151" s="56"/>
      <x:c r="E151" s="56"/>
      <x:c r="F151" s="56"/>
      <x:c r="G151" s="56"/>
      <x:c r="H151" s="56"/>
      <x:c r="I151" s="56"/>
      <x:c r="J151" s="64"/>
      <x:c r="K151" s="64"/>
      <x:c r="L151" s="56"/>
      <x:c r="M151" s="56"/>
      <x:c r="N151" s="64"/>
      <x:c r="O151" s="56"/>
      <x:c r="P151" s="56"/>
      <x:c r="Q151" s="56"/>
      <x:c r="R151" s="64"/>
      <x:c r="S151" s="56"/>
      <x:c r="T151" s="56"/>
      <x:c r="U151" s="64"/>
      <x:c r="V151" s="64"/>
      <x:c r="W151" s="56"/>
    </x:row>
    <x:row r="152">
      <x:c r="A152" s="56"/>
      <x:c r="B152" s="56"/>
      <x:c r="C152" s="56"/>
      <x:c r="D152" s="56"/>
      <x:c r="E152" s="56"/>
      <x:c r="F152" s="56"/>
      <x:c r="G152" s="56"/>
      <x:c r="H152" s="56"/>
      <x:c r="I152" s="56"/>
      <x:c r="J152" s="64"/>
      <x:c r="K152" s="64"/>
      <x:c r="L152" s="56"/>
      <x:c r="M152" s="56"/>
      <x:c r="N152" s="64"/>
      <x:c r="O152" s="56"/>
      <x:c r="P152" s="56"/>
      <x:c r="Q152" s="56"/>
      <x:c r="R152" s="64"/>
      <x:c r="S152" s="56"/>
      <x:c r="T152" s="56"/>
      <x:c r="U152" s="64"/>
      <x:c r="V152" s="64"/>
      <x:c r="W152" s="56"/>
    </x:row>
    <x:row r="153">
      <x:c r="A153" s="56"/>
      <x:c r="B153" s="56"/>
      <x:c r="C153" s="56"/>
      <x:c r="D153" s="56"/>
      <x:c r="E153" s="56"/>
      <x:c r="F153" s="56"/>
      <x:c r="G153" s="56"/>
      <x:c r="H153" s="56"/>
      <x:c r="I153" s="56"/>
      <x:c r="J153" s="64"/>
      <x:c r="K153" s="64"/>
      <x:c r="L153" s="56"/>
      <x:c r="M153" s="56"/>
      <x:c r="N153" s="64"/>
      <x:c r="O153" s="56"/>
      <x:c r="P153" s="56"/>
      <x:c r="Q153" s="56"/>
      <x:c r="R153" s="64"/>
      <x:c r="S153" s="56"/>
      <x:c r="T153" s="56"/>
      <x:c r="U153" s="64"/>
      <x:c r="V153" s="64"/>
      <x:c r="W153" s="56"/>
    </x:row>
    <x:row r="154">
      <x:c r="A154" s="56"/>
      <x:c r="B154" s="56"/>
      <x:c r="C154" s="56"/>
      <x:c r="D154" s="56"/>
      <x:c r="E154" s="56"/>
      <x:c r="F154" s="56"/>
      <x:c r="G154" s="56"/>
      <x:c r="H154" s="56"/>
      <x:c r="I154" s="56"/>
      <x:c r="J154" s="64"/>
      <x:c r="K154" s="64"/>
      <x:c r="L154" s="56"/>
      <x:c r="M154" s="56"/>
      <x:c r="N154" s="64"/>
      <x:c r="O154" s="56"/>
      <x:c r="P154" s="56"/>
      <x:c r="Q154" s="56"/>
      <x:c r="R154" s="64"/>
      <x:c r="S154" s="56"/>
      <x:c r="T154" s="56"/>
      <x:c r="U154" s="64"/>
      <x:c r="V154" s="64"/>
      <x:c r="W154" s="56"/>
    </x:row>
    <x:row r="155">
      <x:c r="A155" s="56"/>
      <x:c r="B155" s="56"/>
      <x:c r="C155" s="56"/>
      <x:c r="D155" s="56"/>
      <x:c r="E155" s="56"/>
      <x:c r="F155" s="56"/>
      <x:c r="G155" s="56"/>
      <x:c r="H155" s="56"/>
      <x:c r="I155" s="56"/>
      <x:c r="J155" s="64"/>
      <x:c r="K155" s="64"/>
      <x:c r="L155" s="56"/>
      <x:c r="M155" s="56"/>
      <x:c r="N155" s="64"/>
      <x:c r="O155" s="56"/>
      <x:c r="P155" s="56"/>
      <x:c r="Q155" s="56"/>
      <x:c r="R155" s="64"/>
      <x:c r="S155" s="56"/>
      <x:c r="T155" s="56"/>
      <x:c r="U155" s="64"/>
      <x:c r="V155" s="64"/>
      <x:c r="W155" s="56"/>
    </x:row>
    <x:row r="156">
      <x:c r="A156" s="56"/>
      <x:c r="B156" s="56"/>
      <x:c r="C156" s="56"/>
      <x:c r="D156" s="56"/>
      <x:c r="E156" s="56"/>
      <x:c r="F156" s="56"/>
      <x:c r="G156" s="56"/>
      <x:c r="H156" s="56"/>
      <x:c r="I156" s="56"/>
      <x:c r="J156" s="64"/>
      <x:c r="K156" s="64"/>
      <x:c r="L156" s="56"/>
      <x:c r="M156" s="56"/>
      <x:c r="N156" s="64"/>
      <x:c r="O156" s="56"/>
      <x:c r="P156" s="56"/>
      <x:c r="Q156" s="56"/>
      <x:c r="R156" s="64"/>
      <x:c r="S156" s="56"/>
      <x:c r="T156" s="56"/>
      <x:c r="U156" s="64"/>
      <x:c r="V156" s="64"/>
      <x:c r="W156" s="56"/>
    </x:row>
    <x:row r="157">
      <x:c r="A157" s="56"/>
      <x:c r="B157" s="56"/>
      <x:c r="C157" s="56"/>
      <x:c r="D157" s="56"/>
      <x:c r="E157" s="56"/>
      <x:c r="F157" s="56"/>
      <x:c r="G157" s="56"/>
      <x:c r="H157" s="56"/>
      <x:c r="I157" s="56"/>
      <x:c r="J157" s="64"/>
      <x:c r="K157" s="64"/>
      <x:c r="L157" s="56"/>
      <x:c r="M157" s="56"/>
      <x:c r="N157" s="64"/>
      <x:c r="O157" s="56"/>
      <x:c r="P157" s="56"/>
      <x:c r="Q157" s="56"/>
      <x:c r="R157" s="64"/>
      <x:c r="S157" s="56"/>
      <x:c r="T157" s="56"/>
      <x:c r="U157" s="64"/>
      <x:c r="V157" s="64"/>
      <x:c r="W157" s="56"/>
    </x:row>
    <x:row r="158">
      <x:c r="A158" s="56"/>
      <x:c r="B158" s="56"/>
      <x:c r="C158" s="56"/>
      <x:c r="D158" s="56"/>
      <x:c r="E158" s="56"/>
      <x:c r="F158" s="56"/>
      <x:c r="G158" s="56"/>
      <x:c r="H158" s="56"/>
      <x:c r="I158" s="56"/>
      <x:c r="J158" s="64"/>
      <x:c r="K158" s="64"/>
      <x:c r="L158" s="56"/>
      <x:c r="M158" s="56"/>
      <x:c r="N158" s="64"/>
      <x:c r="O158" s="56"/>
      <x:c r="P158" s="56"/>
      <x:c r="Q158" s="56"/>
      <x:c r="R158" s="64"/>
      <x:c r="S158" s="56"/>
      <x:c r="T158" s="56"/>
      <x:c r="U158" s="64"/>
      <x:c r="V158" s="64"/>
      <x:c r="W158" s="56"/>
    </x:row>
    <x:row r="159">
      <x:c r="A159" s="56"/>
      <x:c r="B159" s="56"/>
      <x:c r="C159" s="56"/>
      <x:c r="D159" s="56"/>
      <x:c r="E159" s="56"/>
      <x:c r="F159" s="56"/>
      <x:c r="G159" s="56"/>
      <x:c r="H159" s="56"/>
      <x:c r="I159" s="56"/>
      <x:c r="J159" s="64"/>
      <x:c r="K159" s="64"/>
      <x:c r="L159" s="56"/>
      <x:c r="M159" s="56"/>
      <x:c r="N159" s="64"/>
      <x:c r="O159" s="56"/>
      <x:c r="P159" s="56"/>
      <x:c r="Q159" s="56"/>
      <x:c r="R159" s="64"/>
      <x:c r="S159" s="56"/>
      <x:c r="T159" s="56"/>
      <x:c r="U159" s="64"/>
      <x:c r="V159" s="64"/>
      <x:c r="W159" s="56"/>
    </x:row>
    <x:row r="160">
      <x:c r="A160" s="56"/>
      <x:c r="B160" s="56"/>
      <x:c r="C160" s="56"/>
      <x:c r="D160" s="56"/>
      <x:c r="E160" s="56"/>
      <x:c r="F160" s="56"/>
      <x:c r="G160" s="56"/>
      <x:c r="H160" s="56"/>
      <x:c r="I160" s="56"/>
      <x:c r="J160" s="64"/>
      <x:c r="K160" s="64"/>
      <x:c r="L160" s="56"/>
      <x:c r="M160" s="56"/>
      <x:c r="N160" s="64"/>
      <x:c r="O160" s="56"/>
      <x:c r="P160" s="56"/>
      <x:c r="Q160" s="56"/>
      <x:c r="R160" s="64"/>
      <x:c r="S160" s="56"/>
      <x:c r="T160" s="56"/>
      <x:c r="U160" s="64"/>
      <x:c r="V160" s="64"/>
      <x:c r="W160" s="56"/>
    </x:row>
    <x:row r="161">
      <x:c r="A161" s="56"/>
      <x:c r="B161" s="56"/>
      <x:c r="C161" s="56"/>
      <x:c r="D161" s="56"/>
      <x:c r="E161" s="56"/>
      <x:c r="F161" s="56"/>
      <x:c r="G161" s="56"/>
      <x:c r="H161" s="56"/>
      <x:c r="I161" s="56"/>
      <x:c r="J161" s="64"/>
      <x:c r="K161" s="64"/>
      <x:c r="L161" s="56"/>
      <x:c r="M161" s="56"/>
      <x:c r="N161" s="64"/>
      <x:c r="O161" s="56"/>
      <x:c r="P161" s="56"/>
      <x:c r="Q161" s="56"/>
      <x:c r="R161" s="64"/>
      <x:c r="S161" s="56"/>
      <x:c r="T161" s="56"/>
      <x:c r="U161" s="64"/>
      <x:c r="V161" s="64"/>
      <x:c r="W161" s="56"/>
    </x:row>
    <x:row r="162">
      <x:c r="A162" s="56"/>
      <x:c r="B162" s="56"/>
      <x:c r="C162" s="56"/>
      <x:c r="D162" s="56"/>
      <x:c r="E162" s="56"/>
      <x:c r="F162" s="56"/>
      <x:c r="G162" s="56"/>
      <x:c r="H162" s="56"/>
      <x:c r="I162" s="56"/>
      <x:c r="J162" s="64"/>
      <x:c r="K162" s="64"/>
      <x:c r="L162" s="56"/>
      <x:c r="M162" s="56"/>
      <x:c r="N162" s="64"/>
      <x:c r="O162" s="56"/>
      <x:c r="P162" s="56"/>
      <x:c r="Q162" s="56"/>
      <x:c r="R162" s="64"/>
      <x:c r="S162" s="56"/>
      <x:c r="T162" s="56"/>
      <x:c r="U162" s="64"/>
      <x:c r="V162" s="64"/>
      <x:c r="W162" s="56"/>
    </x:row>
    <x:row r="163">
      <x:c r="A163" s="56"/>
      <x:c r="B163" s="56"/>
      <x:c r="C163" s="56"/>
      <x:c r="D163" s="56"/>
      <x:c r="E163" s="56"/>
      <x:c r="F163" s="56"/>
      <x:c r="G163" s="56"/>
      <x:c r="H163" s="56"/>
      <x:c r="I163" s="56"/>
      <x:c r="J163" s="64"/>
      <x:c r="K163" s="64"/>
      <x:c r="L163" s="56"/>
      <x:c r="M163" s="56"/>
      <x:c r="N163" s="64"/>
      <x:c r="O163" s="56"/>
      <x:c r="P163" s="56"/>
      <x:c r="Q163" s="56"/>
      <x:c r="R163" s="64"/>
      <x:c r="S163" s="56"/>
      <x:c r="T163" s="56"/>
      <x:c r="U163" s="64"/>
      <x:c r="V163" s="64"/>
      <x:c r="W163" s="56"/>
    </x:row>
    <x:row r="164">
      <x:c r="A164" s="56"/>
      <x:c r="B164" s="56"/>
      <x:c r="C164" s="56"/>
      <x:c r="D164" s="56"/>
      <x:c r="E164" s="56"/>
      <x:c r="F164" s="56"/>
      <x:c r="G164" s="56"/>
      <x:c r="H164" s="56"/>
      <x:c r="I164" s="56"/>
      <x:c r="J164" s="64"/>
      <x:c r="K164" s="64"/>
      <x:c r="L164" s="56"/>
      <x:c r="M164" s="56"/>
      <x:c r="N164" s="64"/>
      <x:c r="O164" s="56"/>
      <x:c r="P164" s="56"/>
      <x:c r="Q164" s="56"/>
      <x:c r="R164" s="64"/>
      <x:c r="S164" s="56"/>
      <x:c r="T164" s="56"/>
      <x:c r="U164" s="64"/>
      <x:c r="V164" s="64"/>
      <x:c r="W164" s="56"/>
    </x:row>
    <x:row r="165">
      <x:c r="A165" s="56"/>
      <x:c r="B165" s="56"/>
      <x:c r="C165" s="56"/>
      <x:c r="D165" s="56"/>
      <x:c r="E165" s="56"/>
      <x:c r="F165" s="56"/>
      <x:c r="G165" s="56"/>
      <x:c r="H165" s="56"/>
      <x:c r="I165" s="56"/>
      <x:c r="J165" s="64"/>
      <x:c r="K165" s="64"/>
      <x:c r="L165" s="56"/>
      <x:c r="M165" s="56"/>
      <x:c r="N165" s="64"/>
      <x:c r="O165" s="56"/>
      <x:c r="P165" s="56"/>
      <x:c r="Q165" s="56"/>
      <x:c r="R165" s="64"/>
      <x:c r="S165" s="56"/>
      <x:c r="T165" s="56"/>
      <x:c r="U165" s="64"/>
      <x:c r="V165" s="64"/>
      <x:c r="W165" s="56"/>
    </x:row>
    <x:row r="166">
      <x:c r="A166" s="56"/>
      <x:c r="B166" s="56"/>
      <x:c r="C166" s="56"/>
      <x:c r="D166" s="56"/>
      <x:c r="E166" s="56"/>
      <x:c r="F166" s="56"/>
      <x:c r="G166" s="56"/>
      <x:c r="H166" s="56"/>
      <x:c r="I166" s="56"/>
      <x:c r="J166" s="64"/>
      <x:c r="K166" s="64"/>
      <x:c r="L166" s="56"/>
      <x:c r="M166" s="56"/>
      <x:c r="N166" s="64"/>
      <x:c r="O166" s="56"/>
      <x:c r="P166" s="56"/>
      <x:c r="Q166" s="56"/>
      <x:c r="R166" s="64"/>
      <x:c r="S166" s="56"/>
      <x:c r="T166" s="56"/>
      <x:c r="U166" s="64"/>
      <x:c r="V166" s="64"/>
      <x:c r="W166" s="56"/>
    </x:row>
    <x:row r="167">
      <x:c r="A167" s="56"/>
      <x:c r="B167" s="56"/>
      <x:c r="C167" s="56"/>
      <x:c r="D167" s="56"/>
      <x:c r="E167" s="56"/>
      <x:c r="F167" s="56"/>
      <x:c r="G167" s="56"/>
      <x:c r="H167" s="56"/>
      <x:c r="I167" s="56"/>
      <x:c r="J167" s="64"/>
      <x:c r="K167" s="64"/>
      <x:c r="L167" s="56"/>
      <x:c r="M167" s="56"/>
      <x:c r="N167" s="64"/>
      <x:c r="O167" s="56"/>
      <x:c r="P167" s="56"/>
      <x:c r="Q167" s="56"/>
      <x:c r="R167" s="64"/>
      <x:c r="S167" s="56"/>
      <x:c r="T167" s="56"/>
      <x:c r="U167" s="64"/>
      <x:c r="V167" s="64"/>
      <x:c r="W167" s="56"/>
    </x:row>
    <x:row r="168">
      <x:c r="A168" s="56"/>
      <x:c r="B168" s="56"/>
      <x:c r="C168" s="56"/>
      <x:c r="D168" s="56"/>
      <x:c r="E168" s="56"/>
      <x:c r="F168" s="56"/>
      <x:c r="G168" s="56"/>
      <x:c r="H168" s="56"/>
      <x:c r="I168" s="56"/>
      <x:c r="J168" s="64"/>
      <x:c r="K168" s="64"/>
      <x:c r="L168" s="56"/>
      <x:c r="M168" s="56"/>
      <x:c r="N168" s="64"/>
      <x:c r="O168" s="56"/>
      <x:c r="P168" s="56"/>
      <x:c r="Q168" s="56"/>
      <x:c r="R168" s="64"/>
      <x:c r="S168" s="56"/>
      <x:c r="T168" s="56"/>
      <x:c r="U168" s="64"/>
      <x:c r="V168" s="64"/>
      <x:c r="W168" s="56"/>
    </x:row>
    <x:row r="169">
      <x:c r="A169" s="56"/>
      <x:c r="B169" s="56"/>
      <x:c r="C169" s="56"/>
      <x:c r="D169" s="56"/>
      <x:c r="E169" s="56"/>
      <x:c r="F169" s="56"/>
      <x:c r="G169" s="56"/>
      <x:c r="H169" s="56"/>
      <x:c r="I169" s="56"/>
      <x:c r="J169" s="64"/>
      <x:c r="K169" s="64"/>
      <x:c r="L169" s="56"/>
      <x:c r="M169" s="56"/>
      <x:c r="N169" s="64"/>
      <x:c r="O169" s="56"/>
      <x:c r="P169" s="56"/>
      <x:c r="Q169" s="56"/>
      <x:c r="R169" s="64"/>
      <x:c r="S169" s="56"/>
      <x:c r="T169" s="56"/>
      <x:c r="U169" s="64"/>
      <x:c r="V169" s="64"/>
      <x:c r="W169" s="56"/>
    </x:row>
    <x:row r="170">
      <x:c r="A170" s="56"/>
      <x:c r="B170" s="56"/>
      <x:c r="C170" s="56"/>
      <x:c r="D170" s="56"/>
      <x:c r="E170" s="56"/>
      <x:c r="F170" s="56"/>
      <x:c r="G170" s="56"/>
      <x:c r="H170" s="56"/>
      <x:c r="I170" s="56"/>
      <x:c r="J170" s="64"/>
      <x:c r="K170" s="64"/>
      <x:c r="L170" s="56"/>
      <x:c r="M170" s="56"/>
      <x:c r="N170" s="64"/>
      <x:c r="O170" s="56"/>
      <x:c r="P170" s="56"/>
      <x:c r="Q170" s="56"/>
      <x:c r="R170" s="64"/>
      <x:c r="S170" s="56"/>
      <x:c r="T170" s="56"/>
      <x:c r="U170" s="64"/>
      <x:c r="V170" s="64"/>
      <x:c r="W170" s="56"/>
    </x:row>
    <x:row r="171">
      <x:c r="A171" s="56"/>
      <x:c r="B171" s="56"/>
      <x:c r="C171" s="56"/>
      <x:c r="D171" s="56"/>
      <x:c r="E171" s="56"/>
      <x:c r="F171" s="56"/>
      <x:c r="G171" s="56"/>
      <x:c r="H171" s="56"/>
      <x:c r="I171" s="56"/>
      <x:c r="J171" s="64"/>
      <x:c r="K171" s="64"/>
      <x:c r="L171" s="56"/>
      <x:c r="M171" s="56"/>
      <x:c r="N171" s="64"/>
      <x:c r="O171" s="56"/>
      <x:c r="P171" s="56"/>
      <x:c r="Q171" s="56"/>
      <x:c r="R171" s="64"/>
      <x:c r="S171" s="56"/>
      <x:c r="T171" s="56"/>
      <x:c r="U171" s="64"/>
      <x:c r="V171" s="64"/>
      <x:c r="W171" s="56"/>
    </x:row>
    <x:row r="172">
      <x:c r="A172" s="56"/>
      <x:c r="B172" s="56"/>
      <x:c r="C172" s="56"/>
      <x:c r="D172" s="56"/>
      <x:c r="E172" s="56"/>
      <x:c r="F172" s="56"/>
      <x:c r="G172" s="56"/>
      <x:c r="H172" s="56"/>
      <x:c r="I172" s="56"/>
      <x:c r="J172" s="64"/>
      <x:c r="K172" s="64"/>
      <x:c r="L172" s="56"/>
      <x:c r="M172" s="56"/>
      <x:c r="N172" s="64"/>
      <x:c r="O172" s="56"/>
      <x:c r="P172" s="56"/>
      <x:c r="Q172" s="56"/>
      <x:c r="R172" s="64"/>
      <x:c r="S172" s="56"/>
      <x:c r="T172" s="56"/>
      <x:c r="U172" s="64"/>
      <x:c r="V172" s="64"/>
      <x:c r="W172" s="56"/>
    </x:row>
    <x:row r="173">
      <x:c r="A173" s="56"/>
      <x:c r="B173" s="56"/>
      <x:c r="C173" s="56"/>
      <x:c r="D173" s="56"/>
      <x:c r="E173" s="56"/>
      <x:c r="F173" s="56"/>
      <x:c r="G173" s="56"/>
      <x:c r="H173" s="56"/>
      <x:c r="I173" s="56"/>
      <x:c r="J173" s="64"/>
      <x:c r="K173" s="64"/>
      <x:c r="L173" s="56"/>
      <x:c r="M173" s="56"/>
      <x:c r="N173" s="64"/>
      <x:c r="O173" s="56"/>
      <x:c r="P173" s="56"/>
      <x:c r="Q173" s="56"/>
      <x:c r="R173" s="64"/>
      <x:c r="S173" s="56"/>
      <x:c r="T173" s="56"/>
      <x:c r="U173" s="64"/>
      <x:c r="V173" s="64"/>
      <x:c r="W173" s="56"/>
    </x:row>
    <x:row r="174">
      <x:c r="A174" s="56"/>
      <x:c r="B174" s="56"/>
      <x:c r="C174" s="56"/>
      <x:c r="D174" s="56"/>
      <x:c r="E174" s="56"/>
      <x:c r="F174" s="56"/>
      <x:c r="G174" s="56"/>
      <x:c r="H174" s="56"/>
      <x:c r="I174" s="56"/>
      <x:c r="J174" s="64"/>
      <x:c r="K174" s="64"/>
      <x:c r="L174" s="56"/>
      <x:c r="M174" s="56"/>
      <x:c r="N174" s="64"/>
      <x:c r="O174" s="56"/>
      <x:c r="P174" s="56"/>
      <x:c r="Q174" s="56"/>
      <x:c r="R174" s="64"/>
      <x:c r="S174" s="56"/>
      <x:c r="T174" s="56"/>
      <x:c r="U174" s="64"/>
      <x:c r="V174" s="64"/>
      <x:c r="W174" s="56"/>
    </x:row>
    <x:row r="175">
      <x:c r="A175" s="56"/>
      <x:c r="B175" s="56"/>
      <x:c r="C175" s="56"/>
      <x:c r="D175" s="56"/>
      <x:c r="E175" s="56"/>
      <x:c r="F175" s="56"/>
      <x:c r="G175" s="56"/>
      <x:c r="H175" s="56"/>
      <x:c r="I175" s="56"/>
      <x:c r="J175" s="64"/>
      <x:c r="K175" s="64"/>
      <x:c r="L175" s="56"/>
      <x:c r="M175" s="56"/>
      <x:c r="N175" s="64"/>
      <x:c r="O175" s="56"/>
      <x:c r="P175" s="56"/>
      <x:c r="Q175" s="56"/>
      <x:c r="R175" s="64"/>
      <x:c r="S175" s="56"/>
      <x:c r="T175" s="56"/>
      <x:c r="U175" s="64"/>
      <x:c r="V175" s="64"/>
      <x:c r="W175" s="56"/>
    </x:row>
    <x:row r="176">
      <x:c r="A176" s="56"/>
      <x:c r="B176" s="56"/>
      <x:c r="C176" s="56"/>
      <x:c r="D176" s="56"/>
      <x:c r="E176" s="56"/>
      <x:c r="F176" s="56"/>
      <x:c r="G176" s="56"/>
      <x:c r="H176" s="56"/>
      <x:c r="I176" s="56"/>
      <x:c r="J176" s="64"/>
      <x:c r="K176" s="64"/>
      <x:c r="L176" s="56"/>
      <x:c r="M176" s="56"/>
      <x:c r="N176" s="64"/>
      <x:c r="O176" s="56"/>
      <x:c r="P176" s="56"/>
      <x:c r="Q176" s="56"/>
      <x:c r="R176" s="64"/>
      <x:c r="S176" s="56"/>
      <x:c r="T176" s="56"/>
      <x:c r="U176" s="64"/>
      <x:c r="V176" s="64"/>
      <x:c r="W176" s="56"/>
    </x:row>
    <x:row r="177">
      <x:c r="A177" s="56"/>
      <x:c r="B177" s="56"/>
      <x:c r="C177" s="56"/>
      <x:c r="D177" s="56"/>
      <x:c r="E177" s="56"/>
      <x:c r="F177" s="56"/>
      <x:c r="G177" s="56"/>
      <x:c r="H177" s="56"/>
      <x:c r="I177" s="56"/>
      <x:c r="J177" s="64"/>
      <x:c r="K177" s="64"/>
      <x:c r="L177" s="56"/>
      <x:c r="M177" s="56"/>
      <x:c r="N177" s="64"/>
      <x:c r="O177" s="56"/>
      <x:c r="P177" s="56"/>
      <x:c r="Q177" s="56"/>
      <x:c r="R177" s="64"/>
      <x:c r="S177" s="56"/>
      <x:c r="T177" s="56"/>
      <x:c r="U177" s="64"/>
      <x:c r="V177" s="64"/>
      <x:c r="W177" s="56"/>
    </x:row>
    <x:row r="178">
      <x:c r="A178" s="56"/>
      <x:c r="B178" s="56"/>
      <x:c r="C178" s="56"/>
      <x:c r="D178" s="56"/>
      <x:c r="E178" s="56"/>
      <x:c r="F178" s="56"/>
      <x:c r="G178" s="56"/>
      <x:c r="H178" s="56"/>
      <x:c r="I178" s="56"/>
      <x:c r="J178" s="64"/>
      <x:c r="K178" s="64"/>
      <x:c r="L178" s="56"/>
      <x:c r="M178" s="56"/>
      <x:c r="N178" s="64"/>
      <x:c r="O178" s="56"/>
      <x:c r="P178" s="56"/>
      <x:c r="Q178" s="56"/>
      <x:c r="R178" s="64"/>
      <x:c r="S178" s="56"/>
      <x:c r="T178" s="56"/>
      <x:c r="U178" s="64"/>
      <x:c r="V178" s="64"/>
      <x:c r="W178" s="56"/>
    </x:row>
    <x:row r="179">
      <x:c r="A179" s="56"/>
      <x:c r="B179" s="56"/>
      <x:c r="C179" s="56"/>
      <x:c r="D179" s="56"/>
      <x:c r="E179" s="56"/>
      <x:c r="F179" s="56"/>
      <x:c r="G179" s="56"/>
      <x:c r="H179" s="56"/>
      <x:c r="I179" s="56"/>
      <x:c r="J179" s="64"/>
      <x:c r="K179" s="64"/>
      <x:c r="L179" s="56"/>
      <x:c r="M179" s="56"/>
      <x:c r="N179" s="64"/>
      <x:c r="O179" s="56"/>
      <x:c r="P179" s="56"/>
      <x:c r="Q179" s="56"/>
      <x:c r="R179" s="64"/>
      <x:c r="S179" s="56"/>
      <x:c r="T179" s="56"/>
      <x:c r="U179" s="64"/>
      <x:c r="V179" s="64"/>
      <x:c r="W179" s="56"/>
    </x:row>
    <x:row r="180">
      <x:c r="A180" s="56"/>
      <x:c r="B180" s="56"/>
      <x:c r="C180" s="56"/>
      <x:c r="D180" s="56"/>
      <x:c r="E180" s="56"/>
      <x:c r="F180" s="56"/>
      <x:c r="G180" s="56"/>
      <x:c r="H180" s="56"/>
      <x:c r="I180" s="56"/>
      <x:c r="J180" s="64"/>
      <x:c r="K180" s="64"/>
      <x:c r="L180" s="56"/>
      <x:c r="M180" s="56"/>
      <x:c r="N180" s="64"/>
      <x:c r="O180" s="56"/>
      <x:c r="P180" s="56"/>
      <x:c r="Q180" s="56"/>
      <x:c r="R180" s="64"/>
      <x:c r="S180" s="56"/>
      <x:c r="T180" s="56"/>
      <x:c r="U180" s="64"/>
      <x:c r="V180" s="64"/>
      <x:c r="W180" s="56"/>
    </x:row>
    <x:row r="181">
      <x:c r="A181" s="56"/>
      <x:c r="B181" s="56"/>
      <x:c r="C181" s="56"/>
      <x:c r="D181" s="56"/>
      <x:c r="E181" s="56"/>
      <x:c r="F181" s="56"/>
      <x:c r="G181" s="56"/>
      <x:c r="H181" s="56"/>
      <x:c r="I181" s="56"/>
      <x:c r="J181" s="64"/>
      <x:c r="K181" s="64"/>
      <x:c r="L181" s="56"/>
      <x:c r="M181" s="56"/>
      <x:c r="N181" s="64"/>
      <x:c r="O181" s="56"/>
      <x:c r="P181" s="56"/>
      <x:c r="Q181" s="56"/>
      <x:c r="R181" s="64"/>
      <x:c r="S181" s="56"/>
      <x:c r="T181" s="56"/>
      <x:c r="U181" s="64"/>
      <x:c r="V181" s="64"/>
      <x:c r="W181" s="56"/>
    </x:row>
    <x:row r="182">
      <x:c r="A182" s="56"/>
      <x:c r="B182" s="56"/>
      <x:c r="C182" s="56"/>
      <x:c r="D182" s="56"/>
      <x:c r="E182" s="56"/>
      <x:c r="F182" s="56"/>
      <x:c r="G182" s="56"/>
      <x:c r="H182" s="56"/>
      <x:c r="I182" s="56"/>
      <x:c r="J182" s="64"/>
      <x:c r="K182" s="64"/>
      <x:c r="L182" s="56"/>
      <x:c r="M182" s="56"/>
      <x:c r="N182" s="64"/>
      <x:c r="O182" s="56"/>
      <x:c r="P182" s="56"/>
      <x:c r="Q182" s="56"/>
      <x:c r="R182" s="64"/>
      <x:c r="S182" s="56"/>
      <x:c r="T182" s="56"/>
      <x:c r="U182" s="64"/>
      <x:c r="V182" s="64"/>
      <x:c r="W182" s="56"/>
    </x:row>
    <x:row r="183">
      <x:c r="A183" s="56"/>
      <x:c r="B183" s="56"/>
      <x:c r="C183" s="56"/>
      <x:c r="D183" s="56"/>
      <x:c r="E183" s="56"/>
      <x:c r="F183" s="56"/>
      <x:c r="G183" s="56"/>
      <x:c r="H183" s="56"/>
      <x:c r="I183" s="56"/>
      <x:c r="J183" s="64"/>
      <x:c r="K183" s="64"/>
      <x:c r="L183" s="56"/>
      <x:c r="M183" s="56"/>
      <x:c r="N183" s="64"/>
      <x:c r="O183" s="56"/>
      <x:c r="P183" s="56"/>
      <x:c r="Q183" s="56"/>
      <x:c r="R183" s="64"/>
      <x:c r="S183" s="56"/>
      <x:c r="T183" s="56"/>
      <x:c r="U183" s="64"/>
      <x:c r="V183" s="64"/>
      <x:c r="W183" s="56"/>
    </x:row>
    <x:row r="184">
      <x:c r="A184" s="56"/>
      <x:c r="B184" s="56"/>
      <x:c r="C184" s="56"/>
      <x:c r="D184" s="56"/>
      <x:c r="E184" s="56"/>
      <x:c r="F184" s="56"/>
      <x:c r="G184" s="56"/>
      <x:c r="H184" s="56"/>
      <x:c r="I184" s="56"/>
      <x:c r="J184" s="64"/>
      <x:c r="K184" s="64"/>
      <x:c r="L184" s="56"/>
      <x:c r="M184" s="56"/>
      <x:c r="N184" s="64"/>
      <x:c r="O184" s="56"/>
      <x:c r="P184" s="56"/>
      <x:c r="Q184" s="56"/>
      <x:c r="R184" s="64"/>
      <x:c r="S184" s="56"/>
      <x:c r="T184" s="56"/>
      <x:c r="U184" s="64"/>
      <x:c r="V184" s="64"/>
      <x:c r="W184" s="56"/>
    </x:row>
    <x:row r="185">
      <x:c r="A185" s="56"/>
      <x:c r="B185" s="56"/>
      <x:c r="C185" s="56"/>
      <x:c r="D185" s="56"/>
      <x:c r="E185" s="56"/>
      <x:c r="F185" s="56"/>
      <x:c r="G185" s="56"/>
      <x:c r="H185" s="56"/>
      <x:c r="I185" s="56"/>
      <x:c r="J185" s="64"/>
      <x:c r="K185" s="64"/>
      <x:c r="L185" s="56"/>
      <x:c r="M185" s="56"/>
      <x:c r="N185" s="64"/>
      <x:c r="O185" s="56"/>
      <x:c r="P185" s="56"/>
      <x:c r="Q185" s="56"/>
      <x:c r="R185" s="64"/>
      <x:c r="S185" s="56"/>
      <x:c r="T185" s="56"/>
      <x:c r="U185" s="64"/>
      <x:c r="V185" s="64"/>
      <x:c r="W185" s="56"/>
    </x:row>
    <x:row r="186">
      <x:c r="A186" s="56"/>
      <x:c r="B186" s="56"/>
      <x:c r="C186" s="56"/>
      <x:c r="D186" s="56"/>
      <x:c r="E186" s="56"/>
      <x:c r="F186" s="56"/>
      <x:c r="G186" s="56"/>
      <x:c r="H186" s="56"/>
      <x:c r="I186" s="56"/>
      <x:c r="J186" s="64"/>
      <x:c r="K186" s="64"/>
      <x:c r="L186" s="56"/>
      <x:c r="M186" s="56"/>
      <x:c r="N186" s="64"/>
      <x:c r="O186" s="56"/>
      <x:c r="P186" s="56"/>
      <x:c r="Q186" s="56"/>
      <x:c r="R186" s="64"/>
      <x:c r="S186" s="56"/>
      <x:c r="T186" s="56"/>
      <x:c r="U186" s="64"/>
      <x:c r="V186" s="64"/>
      <x:c r="W186" s="56"/>
    </x:row>
    <x:row r="187">
      <x:c r="A187" s="56"/>
      <x:c r="B187" s="56"/>
      <x:c r="C187" s="56"/>
      <x:c r="D187" s="56"/>
      <x:c r="E187" s="56"/>
      <x:c r="F187" s="56"/>
      <x:c r="G187" s="56"/>
      <x:c r="H187" s="56"/>
      <x:c r="I187" s="56"/>
      <x:c r="J187" s="64"/>
      <x:c r="K187" s="64"/>
      <x:c r="L187" s="56"/>
      <x:c r="M187" s="56"/>
      <x:c r="N187" s="64"/>
      <x:c r="O187" s="56"/>
      <x:c r="P187" s="56"/>
      <x:c r="Q187" s="56"/>
      <x:c r="R187" s="64"/>
      <x:c r="S187" s="56"/>
      <x:c r="T187" s="56"/>
      <x:c r="U187" s="64"/>
      <x:c r="V187" s="64"/>
      <x:c r="W187" s="56"/>
    </x:row>
    <x:row r="188">
      <x:c r="A188" s="56"/>
      <x:c r="B188" s="56"/>
      <x:c r="C188" s="56"/>
      <x:c r="D188" s="56"/>
      <x:c r="E188" s="56"/>
      <x:c r="F188" s="56"/>
      <x:c r="G188" s="56"/>
      <x:c r="H188" s="56"/>
      <x:c r="I188" s="56"/>
      <x:c r="J188" s="64"/>
      <x:c r="K188" s="64"/>
      <x:c r="L188" s="56"/>
      <x:c r="M188" s="56"/>
      <x:c r="N188" s="64"/>
      <x:c r="O188" s="56"/>
      <x:c r="P188" s="56"/>
      <x:c r="Q188" s="56"/>
      <x:c r="R188" s="64"/>
      <x:c r="S188" s="56"/>
      <x:c r="T188" s="56"/>
      <x:c r="U188" s="64"/>
      <x:c r="V188" s="64"/>
      <x:c r="W188" s="56"/>
    </x:row>
    <x:row r="189">
      <x:c r="A189" s="56"/>
      <x:c r="B189" s="56"/>
      <x:c r="C189" s="56"/>
      <x:c r="D189" s="56"/>
      <x:c r="E189" s="56"/>
      <x:c r="F189" s="56"/>
      <x:c r="G189" s="56"/>
      <x:c r="H189" s="56"/>
      <x:c r="I189" s="56"/>
      <x:c r="J189" s="64"/>
      <x:c r="K189" s="64"/>
      <x:c r="L189" s="56"/>
      <x:c r="M189" s="56"/>
      <x:c r="N189" s="64"/>
      <x:c r="O189" s="56"/>
      <x:c r="P189" s="56"/>
      <x:c r="Q189" s="56"/>
      <x:c r="R189" s="64"/>
      <x:c r="S189" s="56"/>
      <x:c r="T189" s="56"/>
      <x:c r="U189" s="64"/>
      <x:c r="V189" s="64"/>
      <x:c r="W189" s="56"/>
    </x:row>
    <x:row r="190">
      <x:c r="A190" s="56"/>
      <x:c r="B190" s="56"/>
      <x:c r="C190" s="56"/>
      <x:c r="D190" s="56"/>
      <x:c r="E190" s="56"/>
      <x:c r="F190" s="56"/>
      <x:c r="G190" s="56"/>
      <x:c r="H190" s="56"/>
      <x:c r="I190" s="56"/>
      <x:c r="J190" s="64"/>
      <x:c r="K190" s="64"/>
      <x:c r="L190" s="56"/>
      <x:c r="M190" s="56"/>
      <x:c r="N190" s="64"/>
      <x:c r="O190" s="56"/>
      <x:c r="P190" s="56"/>
      <x:c r="Q190" s="56"/>
      <x:c r="R190" s="64"/>
      <x:c r="S190" s="56"/>
      <x:c r="T190" s="56"/>
      <x:c r="U190" s="64"/>
      <x:c r="V190" s="64"/>
      <x:c r="W190" s="56"/>
    </x:row>
    <x:row r="191">
      <x:c r="A191" s="56"/>
      <x:c r="B191" s="56"/>
      <x:c r="C191" s="56"/>
      <x:c r="D191" s="56"/>
      <x:c r="E191" s="56"/>
      <x:c r="F191" s="56"/>
      <x:c r="G191" s="56"/>
      <x:c r="H191" s="56"/>
      <x:c r="I191" s="56"/>
      <x:c r="J191" s="64"/>
      <x:c r="K191" s="64"/>
      <x:c r="L191" s="56"/>
      <x:c r="M191" s="56"/>
      <x:c r="N191" s="64"/>
      <x:c r="O191" s="56"/>
      <x:c r="P191" s="56"/>
      <x:c r="Q191" s="56"/>
      <x:c r="R191" s="64"/>
      <x:c r="S191" s="56"/>
      <x:c r="T191" s="56"/>
      <x:c r="U191" s="64"/>
      <x:c r="V191" s="64"/>
      <x:c r="W191" s="56"/>
    </x:row>
    <x:row r="192">
      <x:c r="A192" s="56"/>
      <x:c r="B192" s="56"/>
      <x:c r="C192" s="56"/>
      <x:c r="D192" s="56"/>
      <x:c r="E192" s="56"/>
      <x:c r="F192" s="56"/>
      <x:c r="G192" s="56"/>
      <x:c r="H192" s="56"/>
      <x:c r="I192" s="56"/>
      <x:c r="J192" s="64"/>
      <x:c r="K192" s="64"/>
      <x:c r="L192" s="56"/>
      <x:c r="M192" s="56"/>
      <x:c r="N192" s="64"/>
      <x:c r="O192" s="56"/>
      <x:c r="P192" s="56"/>
      <x:c r="Q192" s="56"/>
      <x:c r="R192" s="64"/>
      <x:c r="S192" s="56"/>
      <x:c r="T192" s="56"/>
      <x:c r="U192" s="64"/>
      <x:c r="V192" s="64"/>
      <x:c r="W192" s="56"/>
    </x:row>
    <x:row r="193">
      <x:c r="A193" s="56"/>
      <x:c r="B193" s="56"/>
      <x:c r="C193" s="56"/>
      <x:c r="D193" s="56"/>
      <x:c r="E193" s="56"/>
      <x:c r="F193" s="56"/>
      <x:c r="G193" s="56"/>
      <x:c r="H193" s="56"/>
      <x:c r="I193" s="56"/>
      <x:c r="J193" s="64"/>
      <x:c r="K193" s="64"/>
      <x:c r="L193" s="56"/>
      <x:c r="M193" s="56"/>
      <x:c r="N193" s="64"/>
      <x:c r="O193" s="56"/>
      <x:c r="P193" s="56"/>
      <x:c r="Q193" s="56"/>
      <x:c r="R193" s="64"/>
      <x:c r="S193" s="56"/>
      <x:c r="T193" s="56"/>
      <x:c r="U193" s="64"/>
      <x:c r="V193" s="64"/>
      <x:c r="W193" s="56"/>
    </x:row>
    <x:row r="194">
      <x:c r="A194" s="56"/>
      <x:c r="B194" s="56"/>
      <x:c r="C194" s="56"/>
      <x:c r="D194" s="56"/>
      <x:c r="E194" s="56"/>
      <x:c r="F194" s="56"/>
      <x:c r="G194" s="56"/>
      <x:c r="H194" s="56"/>
      <x:c r="I194" s="56"/>
      <x:c r="J194" s="64"/>
      <x:c r="K194" s="64"/>
      <x:c r="L194" s="56"/>
      <x:c r="M194" s="56"/>
      <x:c r="N194" s="64"/>
      <x:c r="O194" s="56"/>
      <x:c r="P194" s="56"/>
      <x:c r="Q194" s="56"/>
      <x:c r="R194" s="64"/>
      <x:c r="S194" s="56"/>
      <x:c r="T194" s="56"/>
      <x:c r="U194" s="64"/>
      <x:c r="V194" s="64"/>
      <x:c r="W194" s="56"/>
    </x:row>
    <x:row r="195">
      <x:c r="A195" s="56"/>
      <x:c r="B195" s="56"/>
      <x:c r="C195" s="56"/>
      <x:c r="D195" s="56"/>
      <x:c r="E195" s="56"/>
      <x:c r="F195" s="56"/>
      <x:c r="G195" s="56"/>
      <x:c r="H195" s="56"/>
      <x:c r="I195" s="56"/>
      <x:c r="J195" s="64"/>
      <x:c r="K195" s="64"/>
      <x:c r="L195" s="56"/>
      <x:c r="M195" s="56"/>
      <x:c r="N195" s="64"/>
      <x:c r="O195" s="56"/>
      <x:c r="P195" s="56"/>
      <x:c r="Q195" s="56"/>
      <x:c r="R195" s="64"/>
      <x:c r="S195" s="56"/>
      <x:c r="T195" s="56"/>
      <x:c r="U195" s="64"/>
      <x:c r="V195" s="64"/>
      <x:c r="W195" s="56"/>
    </x:row>
    <x:row r="196">
      <x:c r="A196" s="56"/>
      <x:c r="B196" s="56"/>
      <x:c r="C196" s="56"/>
      <x:c r="D196" s="56"/>
      <x:c r="E196" s="56"/>
      <x:c r="F196" s="56"/>
      <x:c r="G196" s="56"/>
      <x:c r="H196" s="56"/>
      <x:c r="I196" s="56"/>
      <x:c r="J196" s="64"/>
      <x:c r="K196" s="64"/>
      <x:c r="L196" s="56"/>
      <x:c r="M196" s="56"/>
      <x:c r="N196" s="64"/>
      <x:c r="O196" s="56"/>
      <x:c r="P196" s="56"/>
      <x:c r="Q196" s="56"/>
      <x:c r="R196" s="64"/>
      <x:c r="S196" s="56"/>
      <x:c r="T196" s="56"/>
      <x:c r="U196" s="64"/>
      <x:c r="V196" s="64"/>
      <x:c r="W196" s="56"/>
    </x:row>
    <x:row r="197">
      <x:c r="A197" s="56"/>
      <x:c r="B197" s="56"/>
      <x:c r="C197" s="56"/>
      <x:c r="D197" s="56"/>
      <x:c r="E197" s="56"/>
      <x:c r="F197" s="56"/>
      <x:c r="G197" s="56"/>
      <x:c r="H197" s="56"/>
      <x:c r="I197" s="56"/>
      <x:c r="J197" s="64"/>
      <x:c r="K197" s="64"/>
      <x:c r="L197" s="56"/>
      <x:c r="M197" s="56"/>
      <x:c r="N197" s="64"/>
      <x:c r="O197" s="56"/>
      <x:c r="P197" s="56"/>
      <x:c r="Q197" s="56"/>
      <x:c r="R197" s="64"/>
      <x:c r="S197" s="56"/>
      <x:c r="T197" s="56"/>
      <x:c r="U197" s="64"/>
      <x:c r="V197" s="64"/>
      <x:c r="W197" s="56"/>
    </x:row>
    <x:row r="198">
      <x:c r="A198" s="56"/>
      <x:c r="B198" s="56"/>
      <x:c r="C198" s="56"/>
      <x:c r="D198" s="56"/>
      <x:c r="E198" s="56"/>
      <x:c r="F198" s="56"/>
      <x:c r="G198" s="56"/>
      <x:c r="H198" s="56"/>
      <x:c r="I198" s="56"/>
      <x:c r="J198" s="64"/>
      <x:c r="K198" s="64"/>
      <x:c r="L198" s="56"/>
      <x:c r="M198" s="56"/>
      <x:c r="N198" s="64"/>
      <x:c r="O198" s="56"/>
      <x:c r="P198" s="56"/>
      <x:c r="Q198" s="56"/>
      <x:c r="R198" s="64"/>
      <x:c r="S198" s="56"/>
      <x:c r="T198" s="56"/>
      <x:c r="U198" s="64"/>
      <x:c r="V198" s="64"/>
      <x:c r="W198" s="56"/>
    </x:row>
    <x:row r="199">
      <x:c r="A199" s="56"/>
      <x:c r="B199" s="56"/>
      <x:c r="C199" s="56"/>
      <x:c r="D199" s="56"/>
      <x:c r="E199" s="56"/>
      <x:c r="F199" s="56"/>
      <x:c r="G199" s="56"/>
      <x:c r="H199" s="56"/>
      <x:c r="I199" s="56"/>
      <x:c r="J199" s="64"/>
      <x:c r="K199" s="64"/>
      <x:c r="L199" s="56"/>
      <x:c r="M199" s="56"/>
      <x:c r="N199" s="64"/>
      <x:c r="O199" s="56"/>
      <x:c r="P199" s="56"/>
      <x:c r="Q199" s="56"/>
      <x:c r="R199" s="64"/>
      <x:c r="S199" s="56"/>
      <x:c r="T199" s="56"/>
      <x:c r="U199" s="64"/>
      <x:c r="V199" s="64"/>
      <x:c r="W199" s="56"/>
    </x:row>
    <x:row r="200">
      <x:c r="A200" s="56"/>
      <x:c r="B200" s="56"/>
      <x:c r="C200" s="56"/>
      <x:c r="D200" s="56"/>
      <x:c r="E200" s="56"/>
      <x:c r="F200" s="56"/>
      <x:c r="G200" s="56"/>
      <x:c r="H200" s="56"/>
      <x:c r="I200" s="56"/>
      <x:c r="J200" s="64"/>
      <x:c r="K200" s="64"/>
      <x:c r="L200" s="56"/>
      <x:c r="M200" s="56"/>
      <x:c r="N200" s="64"/>
      <x:c r="O200" s="56"/>
      <x:c r="P200" s="56"/>
      <x:c r="Q200" s="56"/>
      <x:c r="R200" s="64"/>
      <x:c r="S200" s="56"/>
      <x:c r="T200" s="56"/>
      <x:c r="U200" s="64"/>
      <x:c r="V200" s="64"/>
      <x:c r="W200" s="56"/>
    </x:row>
    <x:row r="201">
      <x:c r="A201" s="56"/>
      <x:c r="B201" s="56"/>
      <x:c r="C201" s="56"/>
      <x:c r="D201" s="56"/>
      <x:c r="E201" s="56"/>
      <x:c r="F201" s="56"/>
      <x:c r="G201" s="56"/>
      <x:c r="H201" s="56"/>
      <x:c r="I201" s="56"/>
      <x:c r="J201" s="64"/>
      <x:c r="K201" s="64"/>
      <x:c r="L201" s="56"/>
      <x:c r="M201" s="56"/>
      <x:c r="N201" s="64"/>
      <x:c r="O201" s="56"/>
      <x:c r="P201" s="56"/>
      <x:c r="Q201" s="56"/>
      <x:c r="R201" s="64"/>
      <x:c r="S201" s="56"/>
      <x:c r="T201" s="56"/>
      <x:c r="U201" s="64"/>
      <x:c r="V201" s="64"/>
      <x:c r="W201" s="56"/>
    </x:row>
    <x:row r="202">
      <x:c r="A202" s="56"/>
      <x:c r="B202" s="56"/>
      <x:c r="C202" s="56"/>
      <x:c r="D202" s="56"/>
      <x:c r="E202" s="56"/>
      <x:c r="F202" s="56"/>
      <x:c r="G202" s="56"/>
      <x:c r="H202" s="56"/>
      <x:c r="I202" s="56"/>
      <x:c r="J202" s="64"/>
      <x:c r="K202" s="64"/>
      <x:c r="L202" s="56"/>
      <x:c r="M202" s="56"/>
      <x:c r="N202" s="64"/>
      <x:c r="O202" s="56"/>
      <x:c r="P202" s="56"/>
      <x:c r="Q202" s="56"/>
      <x:c r="R202" s="64"/>
      <x:c r="S202" s="56"/>
      <x:c r="T202" s="56"/>
      <x:c r="U202" s="64"/>
      <x:c r="V202" s="64"/>
      <x:c r="W202" s="56"/>
    </x:row>
    <x:row r="203">
      <x:c r="A203" s="56"/>
      <x:c r="B203" s="56"/>
      <x:c r="C203" s="56"/>
      <x:c r="D203" s="56"/>
      <x:c r="E203" s="56"/>
      <x:c r="F203" s="56"/>
      <x:c r="G203" s="56"/>
      <x:c r="H203" s="56"/>
      <x:c r="I203" s="56"/>
      <x:c r="J203" s="64"/>
      <x:c r="K203" s="64"/>
      <x:c r="L203" s="56"/>
      <x:c r="M203" s="56"/>
      <x:c r="N203" s="64"/>
      <x:c r="O203" s="56"/>
      <x:c r="P203" s="56"/>
      <x:c r="Q203" s="56"/>
      <x:c r="R203" s="64"/>
      <x:c r="S203" s="56"/>
      <x:c r="T203" s="56"/>
      <x:c r="U203" s="64"/>
      <x:c r="V203" s="64"/>
      <x:c r="W203" s="56"/>
    </x:row>
    <x:row r="204">
      <x:c r="A204" s="56"/>
      <x:c r="B204" s="56"/>
      <x:c r="C204" s="56"/>
      <x:c r="D204" s="56"/>
      <x:c r="E204" s="56"/>
      <x:c r="F204" s="56"/>
      <x:c r="G204" s="56"/>
      <x:c r="H204" s="56"/>
      <x:c r="I204" s="56"/>
      <x:c r="J204" s="64"/>
      <x:c r="K204" s="64"/>
      <x:c r="L204" s="56"/>
      <x:c r="M204" s="56"/>
      <x:c r="N204" s="64"/>
      <x:c r="O204" s="56"/>
      <x:c r="P204" s="56"/>
      <x:c r="Q204" s="56"/>
      <x:c r="R204" s="64"/>
      <x:c r="S204" s="56"/>
      <x:c r="T204" s="56"/>
      <x:c r="U204" s="64"/>
      <x:c r="V204" s="64"/>
      <x:c r="W204" s="56"/>
    </x:row>
  </x:sheetData>
  <x:dataValidations count="4">
    <x:dataValidation type="list" allowBlank="1" showDropDown="0" sqref="F5:F204">
      <x:formula1>"Y,N"</x:formula1>
    </x:dataValidation>
    <x:dataValidation type="list" allowBlank="1" showDropDown="0" sqref="G5:G204">
      <x:formula1>"Y,N"</x:formula1>
    </x:dataValidation>
    <x:dataValidation type="list" allowBlank="1" showDropDown="0" sqref="I5:I204">
      <x:formula1>"어두움,밝음"</x:formula1>
    </x:dataValidation>
    <x:dataValidation type="list" allowBlank="1" showDropDown="0" sqref="P5:P204">
      <x:formula1>"분리,동시"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980000019073486" hidden="0" customWidth="1"/>
    <x:col min="2" max="2" width="21.469999313354492" hidden="0" customWidth="1"/>
    <x:col min="3" max="3" width="31.290000915527344" hidden="0" customWidth="1"/>
    <x:col min="4" max="4" width="15.34000015258789" hidden="0" customWidth="1"/>
    <x:col min="5" max="5" width="15.34000015258789" hidden="0" customWidth="1"/>
    <x:col min="6" max="6" width="15.34000015258789" hidden="0" customWidth="1"/>
    <x:col min="7" max="7" width="16.559999465942383" hidden="0" customWidth="1"/>
    <x:col min="8" max="8" width="50.91999816894531" hidden="0" customWidth="1"/>
  </x:cols>
  <x:sheetData>
    <x:row r="1">
      <x:c r="A1" s="49" t="str">
        <x:v>스드메</x:v>
      </x:c>
      <x:c r="B1" s="50"/>
      <x:c r="C1" s="50"/>
      <x:c r="D1" s="50"/>
      <x:c r="E1" s="50"/>
      <x:c r="F1" s="50"/>
      <x:c r="G1" s="50"/>
      <x:c r="H1" s="50"/>
    </x:row>
    <x:row r="2">
      <x:c r="A2" s="49" t="str">
        <x:v>스튜디오, 드레스, 메이크업 업체 견적을 비교합니다.</x:v>
      </x:c>
      <x:c r="B2" s="50"/>
      <x:c r="C2" s="50"/>
      <x:c r="D2" s="50"/>
      <x:c r="E2" s="50"/>
      <x:c r="F2" s="50"/>
      <x:c r="G2" s="50"/>
      <x:c r="H2" s="50"/>
    </x:row>
    <x:row r="3">
      <x:c r="A3" s="50"/>
      <x:c r="B3" s="50"/>
      <x:c r="C3" s="50"/>
      <x:c r="D3" s="50"/>
      <x:c r="E3" s="50"/>
      <x:c r="F3" s="50"/>
      <x:c r="G3" s="50"/>
      <x:c r="H3" s="50"/>
    </x:row>
    <x:row r="4">
      <x:c r="A4" s="55" t="str">
        <x:v>순서</x:v>
      </x:c>
      <x:c r="B4" s="55" t="str">
        <x:v>업체명</x:v>
      </x:c>
      <x:c r="C4" s="55" t="str">
        <x:v>위치</x:v>
      </x:c>
      <x:c r="D4" s="55" t="str">
        <x:v>스튜디오</x:v>
      </x:c>
      <x:c r="E4" s="55" t="str">
        <x:v>드레스</x:v>
      </x:c>
      <x:c r="F4" s="55" t="str">
        <x:v>메이크업</x:v>
      </x:c>
      <x:c r="G4" s="55" t="str">
        <x:v>합계금액</x:v>
      </x:c>
      <x:c r="H4" s="55" t="str">
        <x:v>메모</x:v>
      </x:c>
    </x:row>
    <x:row r="5">
      <x:c r="A5" s="56"/>
      <x:c r="B5" s="56"/>
      <x:c r="C5" s="56"/>
      <x:c r="D5" s="64"/>
      <x:c r="E5" s="64"/>
      <x:c r="F5" s="64"/>
      <x:c r="G5" s="66" t="n">
        <x:f>SUM(D5:F5)</x:f>
        <x:v>0</x:v>
      </x:c>
      <x:c r="H5" s="56"/>
    </x:row>
    <x:row r="6">
      <x:c r="A6" s="56"/>
      <x:c r="B6" s="56"/>
      <x:c r="C6" s="56"/>
      <x:c r="D6" s="64"/>
      <x:c r="E6" s="64"/>
      <x:c r="F6" s="64"/>
      <x:c r="G6" s="66" t="n">
        <x:f>SUM(D6:F6)</x:f>
        <x:v>0</x:v>
      </x:c>
      <x:c r="H6" s="56"/>
    </x:row>
    <x:row r="7">
      <x:c r="A7" s="56"/>
      <x:c r="B7" s="56"/>
      <x:c r="C7" s="56"/>
      <x:c r="D7" s="64"/>
      <x:c r="E7" s="64"/>
      <x:c r="F7" s="64"/>
      <x:c r="G7" s="66" t="n">
        <x:f>SUM(D7:F7)</x:f>
        <x:v>0</x:v>
      </x:c>
      <x:c r="H7" s="56"/>
    </x:row>
    <x:row r="8">
      <x:c r="A8" s="56"/>
      <x:c r="B8" s="56"/>
      <x:c r="C8" s="56"/>
      <x:c r="D8" s="64"/>
      <x:c r="E8" s="64"/>
      <x:c r="F8" s="64"/>
      <x:c r="G8" s="66" t="n">
        <x:f>SUM(D8:F8)</x:f>
        <x:v>0</x:v>
      </x:c>
      <x:c r="H8" s="56"/>
    </x:row>
    <x:row r="9">
      <x:c r="A9" s="56"/>
      <x:c r="B9" s="56"/>
      <x:c r="C9" s="56"/>
      <x:c r="D9" s="64"/>
      <x:c r="E9" s="64"/>
      <x:c r="F9" s="64"/>
      <x:c r="G9" s="66" t="n">
        <x:f>SUM(D9:F9)</x:f>
        <x:v>0</x:v>
      </x:c>
      <x:c r="H9" s="56"/>
    </x:row>
    <x:row r="10">
      <x:c r="A10" s="56"/>
      <x:c r="B10" s="56"/>
      <x:c r="C10" s="56"/>
      <x:c r="D10" s="64"/>
      <x:c r="E10" s="64"/>
      <x:c r="F10" s="64"/>
      <x:c r="G10" s="66" t="n">
        <x:f>SUM(D10:F10)</x:f>
        <x:v>0</x:v>
      </x:c>
      <x:c r="H10" s="56"/>
    </x:row>
    <x:row r="11">
      <x:c r="A11" s="56"/>
      <x:c r="B11" s="56"/>
      <x:c r="C11" s="56"/>
      <x:c r="D11" s="64"/>
      <x:c r="E11" s="64"/>
      <x:c r="F11" s="64"/>
      <x:c r="G11" s="66" t="n">
        <x:f>SUM(D11:F11)</x:f>
        <x:v>0</x:v>
      </x:c>
      <x:c r="H11" s="56"/>
    </x:row>
    <x:row r="12">
      <x:c r="A12" s="56"/>
      <x:c r="B12" s="56"/>
      <x:c r="C12" s="56"/>
      <x:c r="D12" s="64"/>
      <x:c r="E12" s="64"/>
      <x:c r="F12" s="64"/>
      <x:c r="G12" s="66" t="n">
        <x:f>SUM(D12:F12)</x:f>
        <x:v>0</x:v>
      </x:c>
      <x:c r="H12" s="56"/>
    </x:row>
    <x:row r="13">
      <x:c r="A13" s="56"/>
      <x:c r="B13" s="56"/>
      <x:c r="C13" s="56"/>
      <x:c r="D13" s="64"/>
      <x:c r="E13" s="64"/>
      <x:c r="F13" s="64"/>
      <x:c r="G13" s="66" t="n">
        <x:f>SUM(D13:F13)</x:f>
        <x:v>0</x:v>
      </x:c>
      <x:c r="H13" s="56"/>
    </x:row>
    <x:row r="14">
      <x:c r="A14" s="56"/>
      <x:c r="B14" s="56"/>
      <x:c r="C14" s="56"/>
      <x:c r="D14" s="64"/>
      <x:c r="E14" s="64"/>
      <x:c r="F14" s="64"/>
      <x:c r="G14" s="66" t="n">
        <x:f>SUM(D14:F14)</x:f>
        <x:v>0</x:v>
      </x:c>
      <x:c r="H14" s="56"/>
    </x:row>
    <x:row r="15">
      <x:c r="A15" s="56"/>
      <x:c r="B15" s="56"/>
      <x:c r="C15" s="56"/>
      <x:c r="D15" s="64"/>
      <x:c r="E15" s="64"/>
      <x:c r="F15" s="64"/>
      <x:c r="G15" s="66" t="n">
        <x:f>SUM(D15:F15)</x:f>
        <x:v>0</x:v>
      </x:c>
      <x:c r="H15" s="56"/>
    </x:row>
    <x:row r="16">
      <x:c r="A16" s="56"/>
      <x:c r="B16" s="56"/>
      <x:c r="C16" s="56"/>
      <x:c r="D16" s="64"/>
      <x:c r="E16" s="64"/>
      <x:c r="F16" s="64"/>
      <x:c r="G16" s="66" t="n">
        <x:f>SUM(D16:F16)</x:f>
        <x:v>0</x:v>
      </x:c>
      <x:c r="H16" s="56"/>
    </x:row>
    <x:row r="17">
      <x:c r="A17" s="56"/>
      <x:c r="B17" s="56"/>
      <x:c r="C17" s="56"/>
      <x:c r="D17" s="64"/>
      <x:c r="E17" s="64"/>
      <x:c r="F17" s="64"/>
      <x:c r="G17" s="66" t="n">
        <x:f>SUM(D17:F17)</x:f>
        <x:v>0</x:v>
      </x:c>
      <x:c r="H17" s="56"/>
    </x:row>
    <x:row r="18">
      <x:c r="A18" s="56"/>
      <x:c r="B18" s="56"/>
      <x:c r="C18" s="56"/>
      <x:c r="D18" s="64"/>
      <x:c r="E18" s="64"/>
      <x:c r="F18" s="64"/>
      <x:c r="G18" s="66" t="n">
        <x:f>SUM(D18:F18)</x:f>
        <x:v>0</x:v>
      </x:c>
      <x:c r="H18" s="56"/>
    </x:row>
    <x:row r="19">
      <x:c r="A19" s="56"/>
      <x:c r="B19" s="56"/>
      <x:c r="C19" s="56"/>
      <x:c r="D19" s="64"/>
      <x:c r="E19" s="64"/>
      <x:c r="F19" s="64"/>
      <x:c r="G19" s="66" t="n">
        <x:f>SUM(D19:F19)</x:f>
        <x:v>0</x:v>
      </x:c>
      <x:c r="H19" s="56"/>
    </x:row>
    <x:row r="20">
      <x:c r="A20" s="56"/>
      <x:c r="B20" s="56"/>
      <x:c r="C20" s="56"/>
      <x:c r="D20" s="64"/>
      <x:c r="E20" s="64"/>
      <x:c r="F20" s="64"/>
      <x:c r="G20" s="66" t="n">
        <x:f>SUM(D20:F20)</x:f>
        <x:v>0</x:v>
      </x:c>
      <x:c r="H20" s="56"/>
    </x:row>
    <x:row r="21">
      <x:c r="A21" s="56"/>
      <x:c r="B21" s="56"/>
      <x:c r="C21" s="56"/>
      <x:c r="D21" s="64"/>
      <x:c r="E21" s="64"/>
      <x:c r="F21" s="64"/>
      <x:c r="G21" s="66" t="n">
        <x:f>SUM(D21:F21)</x:f>
        <x:v>0</x:v>
      </x:c>
      <x:c r="H21" s="56"/>
    </x:row>
    <x:row r="22">
      <x:c r="A22" s="56"/>
      <x:c r="B22" s="56"/>
      <x:c r="C22" s="56"/>
      <x:c r="D22" s="64"/>
      <x:c r="E22" s="64"/>
      <x:c r="F22" s="64"/>
      <x:c r="G22" s="66" t="n">
        <x:f>SUM(D22:F22)</x:f>
        <x:v>0</x:v>
      </x:c>
      <x:c r="H22" s="56"/>
    </x:row>
    <x:row r="23">
      <x:c r="A23" s="56"/>
      <x:c r="B23" s="56"/>
      <x:c r="C23" s="56"/>
      <x:c r="D23" s="64"/>
      <x:c r="E23" s="64"/>
      <x:c r="F23" s="64"/>
      <x:c r="G23" s="66" t="n">
        <x:f>SUM(D23:F23)</x:f>
        <x:v>0</x:v>
      </x:c>
      <x:c r="H23" s="56"/>
    </x:row>
    <x:row r="24">
      <x:c r="A24" s="56"/>
      <x:c r="B24" s="56"/>
      <x:c r="C24" s="56"/>
      <x:c r="D24" s="64"/>
      <x:c r="E24" s="64"/>
      <x:c r="F24" s="64"/>
      <x:c r="G24" s="66" t="n">
        <x:f>SUM(D24:F24)</x:f>
        <x:v>0</x:v>
      </x:c>
      <x:c r="H24" s="56"/>
    </x:row>
    <x:row r="25">
      <x:c r="A25" s="56"/>
      <x:c r="B25" s="56"/>
      <x:c r="C25" s="56"/>
      <x:c r="D25" s="64"/>
      <x:c r="E25" s="64"/>
      <x:c r="F25" s="64"/>
      <x:c r="G25" s="66" t="n">
        <x:f>SUM(D25:F25)</x:f>
        <x:v>0</x:v>
      </x:c>
      <x:c r="H25" s="56"/>
    </x:row>
    <x:row r="26">
      <x:c r="A26" s="56"/>
      <x:c r="B26" s="56"/>
      <x:c r="C26" s="56"/>
      <x:c r="D26" s="64"/>
      <x:c r="E26" s="64"/>
      <x:c r="F26" s="64"/>
      <x:c r="G26" s="66" t="n">
        <x:f>SUM(D26:F26)</x:f>
        <x:v>0</x:v>
      </x:c>
      <x:c r="H26" s="56"/>
    </x:row>
    <x:row r="27">
      <x:c r="A27" s="56"/>
      <x:c r="B27" s="56"/>
      <x:c r="C27" s="56"/>
      <x:c r="D27" s="64"/>
      <x:c r="E27" s="64"/>
      <x:c r="F27" s="64"/>
      <x:c r="G27" s="66" t="n">
        <x:f>SUM(D27:F27)</x:f>
        <x:v>0</x:v>
      </x:c>
      <x:c r="H27" s="56"/>
    </x:row>
    <x:row r="28">
      <x:c r="A28" s="56"/>
      <x:c r="B28" s="56"/>
      <x:c r="C28" s="56"/>
      <x:c r="D28" s="64"/>
      <x:c r="E28" s="64"/>
      <x:c r="F28" s="64"/>
      <x:c r="G28" s="66" t="n">
        <x:f>SUM(D28:F28)</x:f>
        <x:v>0</x:v>
      </x:c>
      <x:c r="H28" s="56"/>
    </x:row>
    <x:row r="29">
      <x:c r="A29" s="56"/>
      <x:c r="B29" s="56"/>
      <x:c r="C29" s="56"/>
      <x:c r="D29" s="64"/>
      <x:c r="E29" s="64"/>
      <x:c r="F29" s="64"/>
      <x:c r="G29" s="66" t="n">
        <x:f>SUM(D29:F29)</x:f>
        <x:v>0</x:v>
      </x:c>
      <x:c r="H29" s="56"/>
    </x:row>
    <x:row r="30">
      <x:c r="A30" s="56"/>
      <x:c r="B30" s="56"/>
      <x:c r="C30" s="56"/>
      <x:c r="D30" s="64"/>
      <x:c r="E30" s="64"/>
      <x:c r="F30" s="64"/>
      <x:c r="G30" s="66" t="n">
        <x:f>SUM(D30:F30)</x:f>
        <x:v>0</x:v>
      </x:c>
      <x:c r="H30" s="56"/>
    </x:row>
    <x:row r="31">
      <x:c r="A31" s="56"/>
      <x:c r="B31" s="56"/>
      <x:c r="C31" s="56"/>
      <x:c r="D31" s="64"/>
      <x:c r="E31" s="64"/>
      <x:c r="F31" s="64"/>
      <x:c r="G31" s="66" t="n">
        <x:f>SUM(D31:F31)</x:f>
        <x:v>0</x:v>
      </x:c>
      <x:c r="H31" s="56"/>
    </x:row>
    <x:row r="32">
      <x:c r="A32" s="56"/>
      <x:c r="B32" s="56"/>
      <x:c r="C32" s="56"/>
      <x:c r="D32" s="64"/>
      <x:c r="E32" s="64"/>
      <x:c r="F32" s="64"/>
      <x:c r="G32" s="66" t="n">
        <x:f>SUM(D32:F32)</x:f>
        <x:v>0</x:v>
      </x:c>
      <x:c r="H32" s="56"/>
    </x:row>
    <x:row r="33">
      <x:c r="A33" s="56"/>
      <x:c r="B33" s="56"/>
      <x:c r="C33" s="56"/>
      <x:c r="D33" s="64"/>
      <x:c r="E33" s="64"/>
      <x:c r="F33" s="64"/>
      <x:c r="G33" s="66" t="n">
        <x:f>SUM(D33:F33)</x:f>
        <x:v>0</x:v>
      </x:c>
      <x:c r="H33" s="56"/>
    </x:row>
    <x:row r="34">
      <x:c r="A34" s="56"/>
      <x:c r="B34" s="56"/>
      <x:c r="C34" s="56"/>
      <x:c r="D34" s="64"/>
      <x:c r="E34" s="64"/>
      <x:c r="F34" s="64"/>
      <x:c r="G34" s="66" t="n">
        <x:f>SUM(D34:F34)</x:f>
        <x:v>0</x:v>
      </x:c>
      <x:c r="H34" s="56"/>
    </x:row>
    <x:row r="35">
      <x:c r="A35" s="56"/>
      <x:c r="B35" s="56"/>
      <x:c r="C35" s="56"/>
      <x:c r="D35" s="64"/>
      <x:c r="E35" s="64"/>
      <x:c r="F35" s="64"/>
      <x:c r="G35" s="66" t="n">
        <x:f>SUM(D35:F35)</x:f>
        <x:v>0</x:v>
      </x:c>
      <x:c r="H35" s="56"/>
    </x:row>
    <x:row r="36">
      <x:c r="A36" s="56"/>
      <x:c r="B36" s="56"/>
      <x:c r="C36" s="56"/>
      <x:c r="D36" s="64"/>
      <x:c r="E36" s="64"/>
      <x:c r="F36" s="64"/>
      <x:c r="G36" s="66" t="n">
        <x:f>SUM(D36:F36)</x:f>
        <x:v>0</x:v>
      </x:c>
      <x:c r="H36" s="56"/>
    </x:row>
    <x:row r="37">
      <x:c r="A37" s="56"/>
      <x:c r="B37" s="56"/>
      <x:c r="C37" s="56"/>
      <x:c r="D37" s="64"/>
      <x:c r="E37" s="64"/>
      <x:c r="F37" s="64"/>
      <x:c r="G37" s="66" t="n">
        <x:f>SUM(D37:F37)</x:f>
        <x:v>0</x:v>
      </x:c>
      <x:c r="H37" s="56"/>
    </x:row>
    <x:row r="38">
      <x:c r="A38" s="56"/>
      <x:c r="B38" s="56"/>
      <x:c r="C38" s="56"/>
      <x:c r="D38" s="64"/>
      <x:c r="E38" s="64"/>
      <x:c r="F38" s="64"/>
      <x:c r="G38" s="66" t="n">
        <x:f>SUM(D38:F38)</x:f>
        <x:v>0</x:v>
      </x:c>
      <x:c r="H38" s="56"/>
    </x:row>
    <x:row r="39">
      <x:c r="A39" s="56"/>
      <x:c r="B39" s="56"/>
      <x:c r="C39" s="56"/>
      <x:c r="D39" s="64"/>
      <x:c r="E39" s="64"/>
      <x:c r="F39" s="64"/>
      <x:c r="G39" s="66" t="n">
        <x:f>SUM(D39:F39)</x:f>
        <x:v>0</x:v>
      </x:c>
      <x:c r="H39" s="56"/>
    </x:row>
    <x:row r="40">
      <x:c r="A40" s="56"/>
      <x:c r="B40" s="56"/>
      <x:c r="C40" s="56"/>
      <x:c r="D40" s="64"/>
      <x:c r="E40" s="64"/>
      <x:c r="F40" s="64"/>
      <x:c r="G40" s="66" t="n">
        <x:f>SUM(D40:F40)</x:f>
        <x:v>0</x:v>
      </x:c>
      <x:c r="H40" s="56"/>
    </x:row>
    <x:row r="41">
      <x:c r="A41" s="56"/>
      <x:c r="B41" s="56"/>
      <x:c r="C41" s="56"/>
      <x:c r="D41" s="64"/>
      <x:c r="E41" s="64"/>
      <x:c r="F41" s="64"/>
      <x:c r="G41" s="66" t="n">
        <x:f>SUM(D41:F41)</x:f>
        <x:v>0</x:v>
      </x:c>
      <x:c r="H41" s="56"/>
    </x:row>
    <x:row r="42">
      <x:c r="A42" s="56"/>
      <x:c r="B42" s="56"/>
      <x:c r="C42" s="56"/>
      <x:c r="D42" s="64"/>
      <x:c r="E42" s="64"/>
      <x:c r="F42" s="64"/>
      <x:c r="G42" s="66" t="n">
        <x:f>SUM(D42:F42)</x:f>
        <x:v>0</x:v>
      </x:c>
      <x:c r="H42" s="56"/>
    </x:row>
    <x:row r="43">
      <x:c r="A43" s="56"/>
      <x:c r="B43" s="56"/>
      <x:c r="C43" s="56"/>
      <x:c r="D43" s="64"/>
      <x:c r="E43" s="64"/>
      <x:c r="F43" s="64"/>
      <x:c r="G43" s="66" t="n">
        <x:f>SUM(D43:F43)</x:f>
        <x:v>0</x:v>
      </x:c>
      <x:c r="H43" s="56"/>
    </x:row>
    <x:row r="44">
      <x:c r="A44" s="56"/>
      <x:c r="B44" s="56"/>
      <x:c r="C44" s="56"/>
      <x:c r="D44" s="64"/>
      <x:c r="E44" s="64"/>
      <x:c r="F44" s="64"/>
      <x:c r="G44" s="66" t="n">
        <x:f>SUM(D44:F44)</x:f>
        <x:v>0</x:v>
      </x:c>
      <x:c r="H44" s="56"/>
    </x:row>
    <x:row r="45">
      <x:c r="A45" s="56"/>
      <x:c r="B45" s="56"/>
      <x:c r="C45" s="56"/>
      <x:c r="D45" s="64"/>
      <x:c r="E45" s="64"/>
      <x:c r="F45" s="64"/>
      <x:c r="G45" s="66" t="n">
        <x:f>SUM(D45:F45)</x:f>
        <x:v>0</x:v>
      </x:c>
      <x:c r="H45" s="56"/>
    </x:row>
    <x:row r="46">
      <x:c r="A46" s="56"/>
      <x:c r="B46" s="56"/>
      <x:c r="C46" s="56"/>
      <x:c r="D46" s="64"/>
      <x:c r="E46" s="64"/>
      <x:c r="F46" s="64"/>
      <x:c r="G46" s="66" t="n">
        <x:f>SUM(D46:F46)</x:f>
        <x:v>0</x:v>
      </x:c>
      <x:c r="H46" s="56"/>
    </x:row>
    <x:row r="47">
      <x:c r="A47" s="56"/>
      <x:c r="B47" s="56"/>
      <x:c r="C47" s="56"/>
      <x:c r="D47" s="64"/>
      <x:c r="E47" s="64"/>
      <x:c r="F47" s="64"/>
      <x:c r="G47" s="66" t="n">
        <x:f>SUM(D47:F47)</x:f>
        <x:v>0</x:v>
      </x:c>
      <x:c r="H47" s="56"/>
    </x:row>
    <x:row r="48">
      <x:c r="A48" s="56"/>
      <x:c r="B48" s="56"/>
      <x:c r="C48" s="56"/>
      <x:c r="D48" s="64"/>
      <x:c r="E48" s="64"/>
      <x:c r="F48" s="64"/>
      <x:c r="G48" s="66" t="n">
        <x:f>SUM(D48:F48)</x:f>
        <x:v>0</x:v>
      </x:c>
      <x:c r="H48" s="56"/>
    </x:row>
    <x:row r="49">
      <x:c r="A49" s="56"/>
      <x:c r="B49" s="56"/>
      <x:c r="C49" s="56"/>
      <x:c r="D49" s="64"/>
      <x:c r="E49" s="64"/>
      <x:c r="F49" s="64"/>
      <x:c r="G49" s="66" t="n">
        <x:f>SUM(D49:F49)</x:f>
        <x:v>0</x:v>
      </x:c>
      <x:c r="H49" s="56"/>
    </x:row>
    <x:row r="50">
      <x:c r="A50" s="56"/>
      <x:c r="B50" s="56"/>
      <x:c r="C50" s="56"/>
      <x:c r="D50" s="64"/>
      <x:c r="E50" s="64"/>
      <x:c r="F50" s="64"/>
      <x:c r="G50" s="66" t="n">
        <x:f>SUM(D50:F50)</x:f>
        <x:v>0</x:v>
      </x:c>
      <x:c r="H50" s="56"/>
    </x:row>
    <x:row r="51">
      <x:c r="A51" s="56"/>
      <x:c r="B51" s="56"/>
      <x:c r="C51" s="56"/>
      <x:c r="D51" s="64"/>
      <x:c r="E51" s="64"/>
      <x:c r="F51" s="64"/>
      <x:c r="G51" s="66" t="n">
        <x:f>SUM(D51:F51)</x:f>
        <x:v>0</x:v>
      </x:c>
      <x:c r="H51" s="56"/>
    </x:row>
    <x:row r="52">
      <x:c r="A52" s="56"/>
      <x:c r="B52" s="56"/>
      <x:c r="C52" s="56"/>
      <x:c r="D52" s="64"/>
      <x:c r="E52" s="64"/>
      <x:c r="F52" s="64"/>
      <x:c r="G52" s="66" t="n">
        <x:f>SUM(D52:F52)</x:f>
        <x:v>0</x:v>
      </x:c>
      <x:c r="H52" s="56"/>
    </x:row>
    <x:row r="53">
      <x:c r="A53" s="56"/>
      <x:c r="B53" s="56"/>
      <x:c r="C53" s="56"/>
      <x:c r="D53" s="64"/>
      <x:c r="E53" s="64"/>
      <x:c r="F53" s="64"/>
      <x:c r="G53" s="66" t="n">
        <x:f>SUM(D53:F53)</x:f>
        <x:v>0</x:v>
      </x:c>
      <x:c r="H53" s="56"/>
    </x:row>
    <x:row r="54">
      <x:c r="A54" s="56"/>
      <x:c r="B54" s="56"/>
      <x:c r="C54" s="56"/>
      <x:c r="D54" s="64"/>
      <x:c r="E54" s="64"/>
      <x:c r="F54" s="64"/>
      <x:c r="G54" s="66" t="n">
        <x:f>SUM(D54:F54)</x:f>
        <x:v>0</x:v>
      </x:c>
      <x:c r="H54" s="56"/>
    </x:row>
    <x:row r="55">
      <x:c r="A55" s="56"/>
      <x:c r="B55" s="56"/>
      <x:c r="C55" s="56"/>
      <x:c r="D55" s="64"/>
      <x:c r="E55" s="64"/>
      <x:c r="F55" s="64"/>
      <x:c r="G55" s="66" t="n">
        <x:f>SUM(D55:F55)</x:f>
        <x:v>0</x:v>
      </x:c>
      <x:c r="H55" s="56"/>
    </x:row>
    <x:row r="56">
      <x:c r="A56" s="56"/>
      <x:c r="B56" s="56"/>
      <x:c r="C56" s="56"/>
      <x:c r="D56" s="64"/>
      <x:c r="E56" s="64"/>
      <x:c r="F56" s="64"/>
      <x:c r="G56" s="66" t="n">
        <x:f>SUM(D56:F56)</x:f>
        <x:v>0</x:v>
      </x:c>
      <x:c r="H56" s="56"/>
    </x:row>
    <x:row r="57">
      <x:c r="A57" s="56"/>
      <x:c r="B57" s="56"/>
      <x:c r="C57" s="56"/>
      <x:c r="D57" s="64"/>
      <x:c r="E57" s="64"/>
      <x:c r="F57" s="64"/>
      <x:c r="G57" s="66" t="n">
        <x:f>SUM(D57:F57)</x:f>
        <x:v>0</x:v>
      </x:c>
      <x:c r="H57" s="56"/>
    </x:row>
    <x:row r="58">
      <x:c r="A58" s="56"/>
      <x:c r="B58" s="56"/>
      <x:c r="C58" s="56"/>
      <x:c r="D58" s="64"/>
      <x:c r="E58" s="64"/>
      <x:c r="F58" s="64"/>
      <x:c r="G58" s="66" t="n">
        <x:f>SUM(D58:F58)</x:f>
        <x:v>0</x:v>
      </x:c>
      <x:c r="H58" s="56"/>
    </x:row>
    <x:row r="59">
      <x:c r="A59" s="56"/>
      <x:c r="B59" s="56"/>
      <x:c r="C59" s="56"/>
      <x:c r="D59" s="64"/>
      <x:c r="E59" s="64"/>
      <x:c r="F59" s="64"/>
      <x:c r="G59" s="66" t="n">
        <x:f>SUM(D59:F59)</x:f>
        <x:v>0</x:v>
      </x:c>
      <x:c r="H59" s="56"/>
    </x:row>
    <x:row r="60">
      <x:c r="A60" s="56"/>
      <x:c r="B60" s="56"/>
      <x:c r="C60" s="56"/>
      <x:c r="D60" s="64"/>
      <x:c r="E60" s="64"/>
      <x:c r="F60" s="64"/>
      <x:c r="G60" s="66" t="n">
        <x:f>SUM(D60:F60)</x:f>
        <x:v>0</x:v>
      </x:c>
      <x:c r="H60" s="56"/>
    </x:row>
    <x:row r="61">
      <x:c r="A61" s="56"/>
      <x:c r="B61" s="56"/>
      <x:c r="C61" s="56"/>
      <x:c r="D61" s="64"/>
      <x:c r="E61" s="64"/>
      <x:c r="F61" s="64"/>
      <x:c r="G61" s="66" t="n">
        <x:f>SUM(D61:F61)</x:f>
        <x:v>0</x:v>
      </x:c>
      <x:c r="H61" s="56"/>
    </x:row>
    <x:row r="62">
      <x:c r="A62" s="56"/>
      <x:c r="B62" s="56"/>
      <x:c r="C62" s="56"/>
      <x:c r="D62" s="64"/>
      <x:c r="E62" s="64"/>
      <x:c r="F62" s="64"/>
      <x:c r="G62" s="66" t="n">
        <x:f>SUM(D62:F62)</x:f>
        <x:v>0</x:v>
      </x:c>
      <x:c r="H62" s="56"/>
    </x:row>
    <x:row r="63">
      <x:c r="A63" s="56"/>
      <x:c r="B63" s="56"/>
      <x:c r="C63" s="56"/>
      <x:c r="D63" s="64"/>
      <x:c r="E63" s="64"/>
      <x:c r="F63" s="64"/>
      <x:c r="G63" s="66" t="n">
        <x:f>SUM(D63:F63)</x:f>
        <x:v>0</x:v>
      </x:c>
      <x:c r="H63" s="56"/>
    </x:row>
    <x:row r="64">
      <x:c r="A64" s="56"/>
      <x:c r="B64" s="56"/>
      <x:c r="C64" s="56"/>
      <x:c r="D64" s="64"/>
      <x:c r="E64" s="64"/>
      <x:c r="F64" s="64"/>
      <x:c r="G64" s="66" t="n">
        <x:f>SUM(D64:F64)</x:f>
        <x:v>0</x:v>
      </x:c>
      <x:c r="H64" s="56"/>
    </x:row>
    <x:row r="65">
      <x:c r="A65" s="56"/>
      <x:c r="B65" s="56"/>
      <x:c r="C65" s="56"/>
      <x:c r="D65" s="64"/>
      <x:c r="E65" s="64"/>
      <x:c r="F65" s="64"/>
      <x:c r="G65" s="66" t="n">
        <x:f>SUM(D65:F65)</x:f>
        <x:v>0</x:v>
      </x:c>
      <x:c r="H65" s="56"/>
    </x:row>
    <x:row r="66">
      <x:c r="A66" s="56"/>
      <x:c r="B66" s="56"/>
      <x:c r="C66" s="56"/>
      <x:c r="D66" s="64"/>
      <x:c r="E66" s="64"/>
      <x:c r="F66" s="64"/>
      <x:c r="G66" s="66" t="n">
        <x:f>SUM(D66:F66)</x:f>
        <x:v>0</x:v>
      </x:c>
      <x:c r="H66" s="56"/>
    </x:row>
    <x:row r="67">
      <x:c r="A67" s="56"/>
      <x:c r="B67" s="56"/>
      <x:c r="C67" s="56"/>
      <x:c r="D67" s="64"/>
      <x:c r="E67" s="64"/>
      <x:c r="F67" s="64"/>
      <x:c r="G67" s="66" t="n">
        <x:f>SUM(D67:F67)</x:f>
        <x:v>0</x:v>
      </x:c>
      <x:c r="H67" s="56"/>
    </x:row>
    <x:row r="68">
      <x:c r="A68" s="56"/>
      <x:c r="B68" s="56"/>
      <x:c r="C68" s="56"/>
      <x:c r="D68" s="64"/>
      <x:c r="E68" s="64"/>
      <x:c r="F68" s="64"/>
      <x:c r="G68" s="66" t="n">
        <x:f>SUM(D68:F68)</x:f>
        <x:v>0</x:v>
      </x:c>
      <x:c r="H68" s="56"/>
    </x:row>
    <x:row r="69">
      <x:c r="A69" s="56"/>
      <x:c r="B69" s="56"/>
      <x:c r="C69" s="56"/>
      <x:c r="D69" s="64"/>
      <x:c r="E69" s="64"/>
      <x:c r="F69" s="64"/>
      <x:c r="G69" s="66" t="n">
        <x:f>SUM(D69:F69)</x:f>
        <x:v>0</x:v>
      </x:c>
      <x:c r="H69" s="56"/>
    </x:row>
    <x:row r="70">
      <x:c r="A70" s="56"/>
      <x:c r="B70" s="56"/>
      <x:c r="C70" s="56"/>
      <x:c r="D70" s="64"/>
      <x:c r="E70" s="64"/>
      <x:c r="F70" s="64"/>
      <x:c r="G70" s="66" t="n">
        <x:f>SUM(D70:F70)</x:f>
        <x:v>0</x:v>
      </x:c>
      <x:c r="H70" s="56"/>
    </x:row>
    <x:row r="71">
      <x:c r="A71" s="56"/>
      <x:c r="B71" s="56"/>
      <x:c r="C71" s="56"/>
      <x:c r="D71" s="64"/>
      <x:c r="E71" s="64"/>
      <x:c r="F71" s="64"/>
      <x:c r="G71" s="66" t="n">
        <x:f>SUM(D71:F71)</x:f>
        <x:v>0</x:v>
      </x:c>
      <x:c r="H71" s="56"/>
    </x:row>
    <x:row r="72">
      <x:c r="A72" s="56"/>
      <x:c r="B72" s="56"/>
      <x:c r="C72" s="56"/>
      <x:c r="D72" s="64"/>
      <x:c r="E72" s="64"/>
      <x:c r="F72" s="64"/>
      <x:c r="G72" s="66" t="n">
        <x:f>SUM(D72:F72)</x:f>
        <x:v>0</x:v>
      </x:c>
      <x:c r="H72" s="56"/>
    </x:row>
    <x:row r="73">
      <x:c r="A73" s="56"/>
      <x:c r="B73" s="56"/>
      <x:c r="C73" s="56"/>
      <x:c r="D73" s="64"/>
      <x:c r="E73" s="64"/>
      <x:c r="F73" s="64"/>
      <x:c r="G73" s="66" t="n">
        <x:f>SUM(D73:F73)</x:f>
        <x:v>0</x:v>
      </x:c>
      <x:c r="H73" s="56"/>
    </x:row>
    <x:row r="74">
      <x:c r="A74" s="56"/>
      <x:c r="B74" s="56"/>
      <x:c r="C74" s="56"/>
      <x:c r="D74" s="64"/>
      <x:c r="E74" s="64"/>
      <x:c r="F74" s="64"/>
      <x:c r="G74" s="66" t="n">
        <x:f>SUM(D74:F74)</x:f>
        <x:v>0</x:v>
      </x:c>
      <x:c r="H74" s="56"/>
    </x:row>
    <x:row r="75">
      <x:c r="A75" s="56"/>
      <x:c r="B75" s="56"/>
      <x:c r="C75" s="56"/>
      <x:c r="D75" s="64"/>
      <x:c r="E75" s="64"/>
      <x:c r="F75" s="64"/>
      <x:c r="G75" s="66" t="n">
        <x:f>SUM(D75:F75)</x:f>
        <x:v>0</x:v>
      </x:c>
      <x:c r="H75" s="56"/>
    </x:row>
    <x:row r="76">
      <x:c r="A76" s="56"/>
      <x:c r="B76" s="56"/>
      <x:c r="C76" s="56"/>
      <x:c r="D76" s="64"/>
      <x:c r="E76" s="64"/>
      <x:c r="F76" s="64"/>
      <x:c r="G76" s="66" t="n">
        <x:f>SUM(D76:F76)</x:f>
        <x:v>0</x:v>
      </x:c>
      <x:c r="H76" s="56"/>
    </x:row>
    <x:row r="77">
      <x:c r="A77" s="56"/>
      <x:c r="B77" s="56"/>
      <x:c r="C77" s="56"/>
      <x:c r="D77" s="64"/>
      <x:c r="E77" s="64"/>
      <x:c r="F77" s="64"/>
      <x:c r="G77" s="66" t="n">
        <x:f>SUM(D77:F77)</x:f>
        <x:v>0</x:v>
      </x:c>
      <x:c r="H77" s="56"/>
    </x:row>
    <x:row r="78">
      <x:c r="A78" s="56"/>
      <x:c r="B78" s="56"/>
      <x:c r="C78" s="56"/>
      <x:c r="D78" s="64"/>
      <x:c r="E78" s="64"/>
      <x:c r="F78" s="64"/>
      <x:c r="G78" s="66" t="n">
        <x:f>SUM(D78:F78)</x:f>
        <x:v>0</x:v>
      </x:c>
      <x:c r="H78" s="56"/>
    </x:row>
    <x:row r="79">
      <x:c r="A79" s="56"/>
      <x:c r="B79" s="56"/>
      <x:c r="C79" s="56"/>
      <x:c r="D79" s="64"/>
      <x:c r="E79" s="64"/>
      <x:c r="F79" s="64"/>
      <x:c r="G79" s="66" t="n">
        <x:f>SUM(D79:F79)</x:f>
        <x:v>0</x:v>
      </x:c>
      <x:c r="H79" s="56"/>
    </x:row>
    <x:row r="80">
      <x:c r="A80" s="56"/>
      <x:c r="B80" s="56"/>
      <x:c r="C80" s="56"/>
      <x:c r="D80" s="64"/>
      <x:c r="E80" s="64"/>
      <x:c r="F80" s="64"/>
      <x:c r="G80" s="66" t="n">
        <x:f>SUM(D80:F80)</x:f>
        <x:v>0</x:v>
      </x:c>
      <x:c r="H80" s="56"/>
    </x:row>
    <x:row r="81">
      <x:c r="A81" s="56"/>
      <x:c r="B81" s="56"/>
      <x:c r="C81" s="56"/>
      <x:c r="D81" s="64"/>
      <x:c r="E81" s="64"/>
      <x:c r="F81" s="64"/>
      <x:c r="G81" s="66" t="n">
        <x:f>SUM(D81:F81)</x:f>
        <x:v>0</x:v>
      </x:c>
      <x:c r="H81" s="56"/>
    </x:row>
    <x:row r="82">
      <x:c r="A82" s="56"/>
      <x:c r="B82" s="56"/>
      <x:c r="C82" s="56"/>
      <x:c r="D82" s="64"/>
      <x:c r="E82" s="64"/>
      <x:c r="F82" s="64"/>
      <x:c r="G82" s="66" t="n">
        <x:f>SUM(D82:F82)</x:f>
        <x:v>0</x:v>
      </x:c>
      <x:c r="H82" s="56"/>
    </x:row>
    <x:row r="83">
      <x:c r="A83" s="56"/>
      <x:c r="B83" s="56"/>
      <x:c r="C83" s="56"/>
      <x:c r="D83" s="64"/>
      <x:c r="E83" s="64"/>
      <x:c r="F83" s="64"/>
      <x:c r="G83" s="66" t="n">
        <x:f>SUM(D83:F83)</x:f>
        <x:v>0</x:v>
      </x:c>
      <x:c r="H83" s="56"/>
    </x:row>
    <x:row r="84">
      <x:c r="A84" s="56"/>
      <x:c r="B84" s="56"/>
      <x:c r="C84" s="56"/>
      <x:c r="D84" s="64"/>
      <x:c r="E84" s="64"/>
      <x:c r="F84" s="64"/>
      <x:c r="G84" s="66" t="n">
        <x:f>SUM(D84:F84)</x:f>
        <x:v>0</x:v>
      </x:c>
      <x:c r="H84" s="56"/>
    </x:row>
    <x:row r="85">
      <x:c r="A85" s="56"/>
      <x:c r="B85" s="56"/>
      <x:c r="C85" s="56"/>
      <x:c r="D85" s="64"/>
      <x:c r="E85" s="64"/>
      <x:c r="F85" s="64"/>
      <x:c r="G85" s="66" t="n">
        <x:f>SUM(D85:F85)</x:f>
        <x:v>0</x:v>
      </x:c>
      <x:c r="H85" s="56"/>
    </x:row>
    <x:row r="86">
      <x:c r="A86" s="56"/>
      <x:c r="B86" s="56"/>
      <x:c r="C86" s="56"/>
      <x:c r="D86" s="64"/>
      <x:c r="E86" s="64"/>
      <x:c r="F86" s="64"/>
      <x:c r="G86" s="66" t="n">
        <x:f>SUM(D86:F86)</x:f>
        <x:v>0</x:v>
      </x:c>
      <x:c r="H86" s="56"/>
    </x:row>
    <x:row r="87">
      <x:c r="A87" s="56"/>
      <x:c r="B87" s="56"/>
      <x:c r="C87" s="56"/>
      <x:c r="D87" s="64"/>
      <x:c r="E87" s="64"/>
      <x:c r="F87" s="64"/>
      <x:c r="G87" s="66" t="n">
        <x:f>SUM(D87:F87)</x:f>
        <x:v>0</x:v>
      </x:c>
      <x:c r="H87" s="56"/>
    </x:row>
    <x:row r="88">
      <x:c r="A88" s="56"/>
      <x:c r="B88" s="56"/>
      <x:c r="C88" s="56"/>
      <x:c r="D88" s="64"/>
      <x:c r="E88" s="64"/>
      <x:c r="F88" s="64"/>
      <x:c r="G88" s="66" t="n">
        <x:f>SUM(D88:F88)</x:f>
        <x:v>0</x:v>
      </x:c>
      <x:c r="H88" s="56"/>
    </x:row>
    <x:row r="89">
      <x:c r="A89" s="56"/>
      <x:c r="B89" s="56"/>
      <x:c r="C89" s="56"/>
      <x:c r="D89" s="64"/>
      <x:c r="E89" s="64"/>
      <x:c r="F89" s="64"/>
      <x:c r="G89" s="66" t="n">
        <x:f>SUM(D89:F89)</x:f>
        <x:v>0</x:v>
      </x:c>
      <x:c r="H89" s="56"/>
    </x:row>
    <x:row r="90">
      <x:c r="A90" s="56"/>
      <x:c r="B90" s="56"/>
      <x:c r="C90" s="56"/>
      <x:c r="D90" s="64"/>
      <x:c r="E90" s="64"/>
      <x:c r="F90" s="64"/>
      <x:c r="G90" s="66" t="n">
        <x:f>SUM(D90:F90)</x:f>
        <x:v>0</x:v>
      </x:c>
      <x:c r="H90" s="56"/>
    </x:row>
    <x:row r="91">
      <x:c r="A91" s="56"/>
      <x:c r="B91" s="56"/>
      <x:c r="C91" s="56"/>
      <x:c r="D91" s="64"/>
      <x:c r="E91" s="64"/>
      <x:c r="F91" s="64"/>
      <x:c r="G91" s="66" t="n">
        <x:f>SUM(D91:F91)</x:f>
        <x:v>0</x:v>
      </x:c>
      <x:c r="H91" s="56"/>
    </x:row>
    <x:row r="92">
      <x:c r="A92" s="56"/>
      <x:c r="B92" s="56"/>
      <x:c r="C92" s="56"/>
      <x:c r="D92" s="64"/>
      <x:c r="E92" s="64"/>
      <x:c r="F92" s="64"/>
      <x:c r="G92" s="66" t="n">
        <x:f>SUM(D92:F92)</x:f>
        <x:v>0</x:v>
      </x:c>
      <x:c r="H92" s="56"/>
    </x:row>
    <x:row r="93">
      <x:c r="A93" s="56"/>
      <x:c r="B93" s="56"/>
      <x:c r="C93" s="56"/>
      <x:c r="D93" s="64"/>
      <x:c r="E93" s="64"/>
      <x:c r="F93" s="64"/>
      <x:c r="G93" s="66" t="n">
        <x:f>SUM(D93:F93)</x:f>
        <x:v>0</x:v>
      </x:c>
      <x:c r="H93" s="56"/>
    </x:row>
    <x:row r="94">
      <x:c r="A94" s="56"/>
      <x:c r="B94" s="56"/>
      <x:c r="C94" s="56"/>
      <x:c r="D94" s="64"/>
      <x:c r="E94" s="64"/>
      <x:c r="F94" s="64"/>
      <x:c r="G94" s="66" t="n">
        <x:f>SUM(D94:F94)</x:f>
        <x:v>0</x:v>
      </x:c>
      <x:c r="H94" s="56"/>
    </x:row>
    <x:row r="95">
      <x:c r="A95" s="56"/>
      <x:c r="B95" s="56"/>
      <x:c r="C95" s="56"/>
      <x:c r="D95" s="64"/>
      <x:c r="E95" s="64"/>
      <x:c r="F95" s="64"/>
      <x:c r="G95" s="66" t="n">
        <x:f>SUM(D95:F95)</x:f>
        <x:v>0</x:v>
      </x:c>
      <x:c r="H95" s="56"/>
    </x:row>
    <x:row r="96">
      <x:c r="A96" s="56"/>
      <x:c r="B96" s="56"/>
      <x:c r="C96" s="56"/>
      <x:c r="D96" s="64"/>
      <x:c r="E96" s="64"/>
      <x:c r="F96" s="64"/>
      <x:c r="G96" s="66" t="n">
        <x:f>SUM(D96:F96)</x:f>
        <x:v>0</x:v>
      </x:c>
      <x:c r="H96" s="56"/>
    </x:row>
    <x:row r="97">
      <x:c r="A97" s="56"/>
      <x:c r="B97" s="56"/>
      <x:c r="C97" s="56"/>
      <x:c r="D97" s="64"/>
      <x:c r="E97" s="64"/>
      <x:c r="F97" s="64"/>
      <x:c r="G97" s="66" t="n">
        <x:f>SUM(D97:F97)</x:f>
        <x:v>0</x:v>
      </x:c>
      <x:c r="H97" s="56"/>
    </x:row>
    <x:row r="98">
      <x:c r="A98" s="56"/>
      <x:c r="B98" s="56"/>
      <x:c r="C98" s="56"/>
      <x:c r="D98" s="64"/>
      <x:c r="E98" s="64"/>
      <x:c r="F98" s="64"/>
      <x:c r="G98" s="66" t="n">
        <x:f>SUM(D98:F98)</x:f>
        <x:v>0</x:v>
      </x:c>
      <x:c r="H98" s="56"/>
    </x:row>
    <x:row r="99">
      <x:c r="A99" s="56"/>
      <x:c r="B99" s="56"/>
      <x:c r="C99" s="56"/>
      <x:c r="D99" s="64"/>
      <x:c r="E99" s="64"/>
      <x:c r="F99" s="64"/>
      <x:c r="G99" s="66" t="n">
        <x:f>SUM(D99:F99)</x:f>
        <x:v>0</x:v>
      </x:c>
      <x:c r="H99" s="56"/>
    </x:row>
    <x:row r="100">
      <x:c r="A100" s="56"/>
      <x:c r="B100" s="56"/>
      <x:c r="C100" s="56"/>
      <x:c r="D100" s="64"/>
      <x:c r="E100" s="64"/>
      <x:c r="F100" s="64"/>
      <x:c r="G100" s="66" t="n">
        <x:f>SUM(D100:F100)</x:f>
        <x:v>0</x:v>
      </x:c>
      <x:c r="H100" s="56"/>
    </x:row>
    <x:row r="101">
      <x:c r="A101" s="56"/>
      <x:c r="B101" s="56"/>
      <x:c r="C101" s="56"/>
      <x:c r="D101" s="64"/>
      <x:c r="E101" s="64"/>
      <x:c r="F101" s="64"/>
      <x:c r="G101" s="66" t="n">
        <x:f>SUM(D101:F101)</x:f>
        <x:v>0</x:v>
      </x:c>
      <x:c r="H101" s="56"/>
    </x:row>
    <x:row r="102">
      <x:c r="A102" s="56"/>
      <x:c r="B102" s="56"/>
      <x:c r="C102" s="56"/>
      <x:c r="D102" s="64"/>
      <x:c r="E102" s="64"/>
      <x:c r="F102" s="64"/>
      <x:c r="G102" s="66" t="n">
        <x:f>SUM(D102:F102)</x:f>
        <x:v>0</x:v>
      </x:c>
      <x:c r="H102" s="56"/>
    </x:row>
    <x:row r="103">
      <x:c r="A103" s="56"/>
      <x:c r="B103" s="56"/>
      <x:c r="C103" s="56"/>
      <x:c r="D103" s="64"/>
      <x:c r="E103" s="64"/>
      <x:c r="F103" s="64"/>
      <x:c r="G103" s="66" t="n">
        <x:f>SUM(D103:F103)</x:f>
        <x:v>0</x:v>
      </x:c>
      <x:c r="H103" s="56"/>
    </x:row>
    <x:row r="104">
      <x:c r="A104" s="56"/>
      <x:c r="B104" s="56"/>
      <x:c r="C104" s="56"/>
      <x:c r="D104" s="64"/>
      <x:c r="E104" s="64"/>
      <x:c r="F104" s="64"/>
      <x:c r="G104" s="66" t="n">
        <x:f>SUM(D104:F104)</x:f>
        <x:v>0</x:v>
      </x:c>
      <x:c r="H104" s="56"/>
    </x:row>
    <x:row r="105">
      <x:c r="A105" s="56"/>
      <x:c r="B105" s="56"/>
      <x:c r="C105" s="56"/>
      <x:c r="D105" s="64"/>
      <x:c r="E105" s="64"/>
      <x:c r="F105" s="64"/>
      <x:c r="G105" s="66" t="n">
        <x:f>SUM(D105:F105)</x:f>
        <x:v>0</x:v>
      </x:c>
      <x:c r="H105" s="56"/>
    </x:row>
    <x:row r="106">
      <x:c r="A106" s="56"/>
      <x:c r="B106" s="56"/>
      <x:c r="C106" s="56"/>
      <x:c r="D106" s="64"/>
      <x:c r="E106" s="64"/>
      <x:c r="F106" s="64"/>
      <x:c r="G106" s="66" t="n">
        <x:f>SUM(D106:F106)</x:f>
        <x:v>0</x:v>
      </x:c>
      <x:c r="H106" s="56"/>
    </x:row>
    <x:row r="107">
      <x:c r="A107" s="56"/>
      <x:c r="B107" s="56"/>
      <x:c r="C107" s="56"/>
      <x:c r="D107" s="64"/>
      <x:c r="E107" s="64"/>
      <x:c r="F107" s="64"/>
      <x:c r="G107" s="66" t="n">
        <x:f>SUM(D107:F107)</x:f>
        <x:v>0</x:v>
      </x:c>
      <x:c r="H107" s="56"/>
    </x:row>
    <x:row r="108">
      <x:c r="A108" s="56"/>
      <x:c r="B108" s="56"/>
      <x:c r="C108" s="56"/>
      <x:c r="D108" s="64"/>
      <x:c r="E108" s="64"/>
      <x:c r="F108" s="64"/>
      <x:c r="G108" s="66" t="n">
        <x:f>SUM(D108:F108)</x:f>
        <x:v>0</x:v>
      </x:c>
      <x:c r="H108" s="56"/>
    </x:row>
    <x:row r="109">
      <x:c r="A109" s="56"/>
      <x:c r="B109" s="56"/>
      <x:c r="C109" s="56"/>
      <x:c r="D109" s="64"/>
      <x:c r="E109" s="64"/>
      <x:c r="F109" s="64"/>
      <x:c r="G109" s="66" t="n">
        <x:f>SUM(D109:F109)</x:f>
        <x:v>0</x:v>
      </x:c>
      <x:c r="H109" s="56"/>
    </x:row>
    <x:row r="110">
      <x:c r="A110" s="56"/>
      <x:c r="B110" s="56"/>
      <x:c r="C110" s="56"/>
      <x:c r="D110" s="64"/>
      <x:c r="E110" s="64"/>
      <x:c r="F110" s="64"/>
      <x:c r="G110" s="66" t="n">
        <x:f>SUM(D110:F110)</x:f>
        <x:v>0</x:v>
      </x:c>
      <x:c r="H110" s="56"/>
    </x:row>
    <x:row r="111">
      <x:c r="A111" s="56"/>
      <x:c r="B111" s="56"/>
      <x:c r="C111" s="56"/>
      <x:c r="D111" s="64"/>
      <x:c r="E111" s="64"/>
      <x:c r="F111" s="64"/>
      <x:c r="G111" s="66" t="n">
        <x:f>SUM(D111:F111)</x:f>
        <x:v>0</x:v>
      </x:c>
      <x:c r="H111" s="56"/>
    </x:row>
    <x:row r="112">
      <x:c r="A112" s="56"/>
      <x:c r="B112" s="56"/>
      <x:c r="C112" s="56"/>
      <x:c r="D112" s="64"/>
      <x:c r="E112" s="64"/>
      <x:c r="F112" s="64"/>
      <x:c r="G112" s="66" t="n">
        <x:f>SUM(D112:F112)</x:f>
        <x:v>0</x:v>
      </x:c>
      <x:c r="H112" s="56"/>
    </x:row>
    <x:row r="113">
      <x:c r="A113" s="56"/>
      <x:c r="B113" s="56"/>
      <x:c r="C113" s="56"/>
      <x:c r="D113" s="64"/>
      <x:c r="E113" s="64"/>
      <x:c r="F113" s="64"/>
      <x:c r="G113" s="66" t="n">
        <x:f>SUM(D113:F113)</x:f>
        <x:v>0</x:v>
      </x:c>
      <x:c r="H113" s="56"/>
    </x:row>
    <x:row r="114">
      <x:c r="A114" s="56"/>
      <x:c r="B114" s="56"/>
      <x:c r="C114" s="56"/>
      <x:c r="D114" s="64"/>
      <x:c r="E114" s="64"/>
      <x:c r="F114" s="64"/>
      <x:c r="G114" s="66" t="n">
        <x:f>SUM(D114:F114)</x:f>
        <x:v>0</x:v>
      </x:c>
      <x:c r="H114" s="56"/>
    </x:row>
    <x:row r="115">
      <x:c r="A115" s="56"/>
      <x:c r="B115" s="56"/>
      <x:c r="C115" s="56"/>
      <x:c r="D115" s="64"/>
      <x:c r="E115" s="64"/>
      <x:c r="F115" s="64"/>
      <x:c r="G115" s="66" t="n">
        <x:f>SUM(D115:F115)</x:f>
        <x:v>0</x:v>
      </x:c>
      <x:c r="H115" s="56"/>
    </x:row>
    <x:row r="116">
      <x:c r="A116" s="56"/>
      <x:c r="B116" s="56"/>
      <x:c r="C116" s="56"/>
      <x:c r="D116" s="64"/>
      <x:c r="E116" s="64"/>
      <x:c r="F116" s="64"/>
      <x:c r="G116" s="66" t="n">
        <x:f>SUM(D116:F116)</x:f>
        <x:v>0</x:v>
      </x:c>
      <x:c r="H116" s="56"/>
    </x:row>
    <x:row r="117">
      <x:c r="A117" s="56"/>
      <x:c r="B117" s="56"/>
      <x:c r="C117" s="56"/>
      <x:c r="D117" s="64"/>
      <x:c r="E117" s="64"/>
      <x:c r="F117" s="64"/>
      <x:c r="G117" s="66" t="n">
        <x:f>SUM(D117:F117)</x:f>
        <x:v>0</x:v>
      </x:c>
      <x:c r="H117" s="56"/>
    </x:row>
    <x:row r="118">
      <x:c r="A118" s="56"/>
      <x:c r="B118" s="56"/>
      <x:c r="C118" s="56"/>
      <x:c r="D118" s="64"/>
      <x:c r="E118" s="64"/>
      <x:c r="F118" s="64"/>
      <x:c r="G118" s="66" t="n">
        <x:f>SUM(D118:F118)</x:f>
        <x:v>0</x:v>
      </x:c>
      <x:c r="H118" s="56"/>
    </x:row>
    <x:row r="119">
      <x:c r="A119" s="56"/>
      <x:c r="B119" s="56"/>
      <x:c r="C119" s="56"/>
      <x:c r="D119" s="64"/>
      <x:c r="E119" s="64"/>
      <x:c r="F119" s="64"/>
      <x:c r="G119" s="66" t="n">
        <x:f>SUM(D119:F119)</x:f>
        <x:v>0</x:v>
      </x:c>
      <x:c r="H119" s="56"/>
    </x:row>
    <x:row r="120">
      <x:c r="A120" s="56"/>
      <x:c r="B120" s="56"/>
      <x:c r="C120" s="56"/>
      <x:c r="D120" s="64"/>
      <x:c r="E120" s="64"/>
      <x:c r="F120" s="64"/>
      <x:c r="G120" s="66" t="n">
        <x:f>SUM(D120:F120)</x:f>
        <x:v>0</x:v>
      </x:c>
      <x:c r="H120" s="56"/>
    </x:row>
    <x:row r="121">
      <x:c r="A121" s="56"/>
      <x:c r="B121" s="56"/>
      <x:c r="C121" s="56"/>
      <x:c r="D121" s="64"/>
      <x:c r="E121" s="64"/>
      <x:c r="F121" s="64"/>
      <x:c r="G121" s="66" t="n">
        <x:f>SUM(D121:F121)</x:f>
        <x:v>0</x:v>
      </x:c>
      <x:c r="H121" s="56"/>
    </x:row>
    <x:row r="122">
      <x:c r="A122" s="56"/>
      <x:c r="B122" s="56"/>
      <x:c r="C122" s="56"/>
      <x:c r="D122" s="64"/>
      <x:c r="E122" s="64"/>
      <x:c r="F122" s="64"/>
      <x:c r="G122" s="66" t="n">
        <x:f>SUM(D122:F122)</x:f>
        <x:v>0</x:v>
      </x:c>
      <x:c r="H122" s="56"/>
    </x:row>
    <x:row r="123">
      <x:c r="A123" s="56"/>
      <x:c r="B123" s="56"/>
      <x:c r="C123" s="56"/>
      <x:c r="D123" s="64"/>
      <x:c r="E123" s="64"/>
      <x:c r="F123" s="64"/>
      <x:c r="G123" s="66" t="n">
        <x:f>SUM(D123:F123)</x:f>
        <x:v>0</x:v>
      </x:c>
      <x:c r="H123" s="56"/>
    </x:row>
    <x:row r="124">
      <x:c r="A124" s="56"/>
      <x:c r="B124" s="56"/>
      <x:c r="C124" s="56"/>
      <x:c r="D124" s="64"/>
      <x:c r="E124" s="64"/>
      <x:c r="F124" s="64"/>
      <x:c r="G124" s="66" t="n">
        <x:f>SUM(D124:F124)</x:f>
        <x:v>0</x:v>
      </x:c>
      <x:c r="H124" s="56"/>
    </x:row>
    <x:row r="125">
      <x:c r="A125" s="56"/>
      <x:c r="B125" s="56"/>
      <x:c r="C125" s="56"/>
      <x:c r="D125" s="64"/>
      <x:c r="E125" s="64"/>
      <x:c r="F125" s="64"/>
      <x:c r="G125" s="66" t="n">
        <x:f>SUM(D125:F125)</x:f>
        <x:v>0</x:v>
      </x:c>
      <x:c r="H125" s="56"/>
    </x:row>
    <x:row r="126">
      <x:c r="A126" s="56"/>
      <x:c r="B126" s="56"/>
      <x:c r="C126" s="56"/>
      <x:c r="D126" s="64"/>
      <x:c r="E126" s="64"/>
      <x:c r="F126" s="64"/>
      <x:c r="G126" s="66" t="n">
        <x:f>SUM(D126:F126)</x:f>
        <x:v>0</x:v>
      </x:c>
      <x:c r="H126" s="56"/>
    </x:row>
    <x:row r="127">
      <x:c r="A127" s="56"/>
      <x:c r="B127" s="56"/>
      <x:c r="C127" s="56"/>
      <x:c r="D127" s="64"/>
      <x:c r="E127" s="64"/>
      <x:c r="F127" s="64"/>
      <x:c r="G127" s="66" t="n">
        <x:f>SUM(D127:F127)</x:f>
        <x:v>0</x:v>
      </x:c>
      <x:c r="H127" s="56"/>
    </x:row>
    <x:row r="128">
      <x:c r="A128" s="56"/>
      <x:c r="B128" s="56"/>
      <x:c r="C128" s="56"/>
      <x:c r="D128" s="64"/>
      <x:c r="E128" s="64"/>
      <x:c r="F128" s="64"/>
      <x:c r="G128" s="66" t="n">
        <x:f>SUM(D128:F128)</x:f>
        <x:v>0</x:v>
      </x:c>
      <x:c r="H128" s="56"/>
    </x:row>
    <x:row r="129">
      <x:c r="A129" s="56"/>
      <x:c r="B129" s="56"/>
      <x:c r="C129" s="56"/>
      <x:c r="D129" s="64"/>
      <x:c r="E129" s="64"/>
      <x:c r="F129" s="64"/>
      <x:c r="G129" s="66" t="n">
        <x:f>SUM(D129:F129)</x:f>
        <x:v>0</x:v>
      </x:c>
      <x:c r="H129" s="56"/>
    </x:row>
    <x:row r="130">
      <x:c r="A130" s="56"/>
      <x:c r="B130" s="56"/>
      <x:c r="C130" s="56"/>
      <x:c r="D130" s="64"/>
      <x:c r="E130" s="64"/>
      <x:c r="F130" s="64"/>
      <x:c r="G130" s="66" t="n">
        <x:f>SUM(D130:F130)</x:f>
        <x:v>0</x:v>
      </x:c>
      <x:c r="H130" s="56"/>
    </x:row>
    <x:row r="131">
      <x:c r="A131" s="56"/>
      <x:c r="B131" s="56"/>
      <x:c r="C131" s="56"/>
      <x:c r="D131" s="64"/>
      <x:c r="E131" s="64"/>
      <x:c r="F131" s="64"/>
      <x:c r="G131" s="66" t="n">
        <x:f>SUM(D131:F131)</x:f>
        <x:v>0</x:v>
      </x:c>
      <x:c r="H131" s="56"/>
    </x:row>
    <x:row r="132">
      <x:c r="A132" s="56"/>
      <x:c r="B132" s="56"/>
      <x:c r="C132" s="56"/>
      <x:c r="D132" s="64"/>
      <x:c r="E132" s="64"/>
      <x:c r="F132" s="64"/>
      <x:c r="G132" s="66" t="n">
        <x:f>SUM(D132:F132)</x:f>
        <x:v>0</x:v>
      </x:c>
      <x:c r="H132" s="56"/>
    </x:row>
    <x:row r="133">
      <x:c r="A133" s="56"/>
      <x:c r="B133" s="56"/>
      <x:c r="C133" s="56"/>
      <x:c r="D133" s="64"/>
      <x:c r="E133" s="64"/>
      <x:c r="F133" s="64"/>
      <x:c r="G133" s="66" t="n">
        <x:f>SUM(D133:F133)</x:f>
        <x:v>0</x:v>
      </x:c>
      <x:c r="H133" s="56"/>
    </x:row>
    <x:row r="134">
      <x:c r="A134" s="56"/>
      <x:c r="B134" s="56"/>
      <x:c r="C134" s="56"/>
      <x:c r="D134" s="64"/>
      <x:c r="E134" s="64"/>
      <x:c r="F134" s="64"/>
      <x:c r="G134" s="66" t="n">
        <x:f>SUM(D134:F134)</x:f>
        <x:v>0</x:v>
      </x:c>
      <x:c r="H134" s="56"/>
    </x:row>
    <x:row r="135">
      <x:c r="A135" s="56"/>
      <x:c r="B135" s="56"/>
      <x:c r="C135" s="56"/>
      <x:c r="D135" s="64"/>
      <x:c r="E135" s="64"/>
      <x:c r="F135" s="64"/>
      <x:c r="G135" s="66" t="n">
        <x:f>SUM(D135:F135)</x:f>
        <x:v>0</x:v>
      </x:c>
      <x:c r="H135" s="56"/>
    </x:row>
    <x:row r="136">
      <x:c r="A136" s="56"/>
      <x:c r="B136" s="56"/>
      <x:c r="C136" s="56"/>
      <x:c r="D136" s="64"/>
      <x:c r="E136" s="64"/>
      <x:c r="F136" s="64"/>
      <x:c r="G136" s="66" t="n">
        <x:f>SUM(D136:F136)</x:f>
        <x:v>0</x:v>
      </x:c>
      <x:c r="H136" s="56"/>
    </x:row>
    <x:row r="137">
      <x:c r="A137" s="56"/>
      <x:c r="B137" s="56"/>
      <x:c r="C137" s="56"/>
      <x:c r="D137" s="64"/>
      <x:c r="E137" s="64"/>
      <x:c r="F137" s="64"/>
      <x:c r="G137" s="66" t="n">
        <x:f>SUM(D137:F137)</x:f>
        <x:v>0</x:v>
      </x:c>
      <x:c r="H137" s="56"/>
    </x:row>
    <x:row r="138">
      <x:c r="A138" s="56"/>
      <x:c r="B138" s="56"/>
      <x:c r="C138" s="56"/>
      <x:c r="D138" s="64"/>
      <x:c r="E138" s="64"/>
      <x:c r="F138" s="64"/>
      <x:c r="G138" s="66" t="n">
        <x:f>SUM(D138:F138)</x:f>
        <x:v>0</x:v>
      </x:c>
      <x:c r="H138" s="56"/>
    </x:row>
    <x:row r="139">
      <x:c r="A139" s="56"/>
      <x:c r="B139" s="56"/>
      <x:c r="C139" s="56"/>
      <x:c r="D139" s="64"/>
      <x:c r="E139" s="64"/>
      <x:c r="F139" s="64"/>
      <x:c r="G139" s="66" t="n">
        <x:f>SUM(D139:F139)</x:f>
        <x:v>0</x:v>
      </x:c>
      <x:c r="H139" s="56"/>
    </x:row>
    <x:row r="140">
      <x:c r="A140" s="56"/>
      <x:c r="B140" s="56"/>
      <x:c r="C140" s="56"/>
      <x:c r="D140" s="64"/>
      <x:c r="E140" s="64"/>
      <x:c r="F140" s="64"/>
      <x:c r="G140" s="66" t="n">
        <x:f>SUM(D140:F140)</x:f>
        <x:v>0</x:v>
      </x:c>
      <x:c r="H140" s="56"/>
    </x:row>
    <x:row r="141">
      <x:c r="A141" s="56"/>
      <x:c r="B141" s="56"/>
      <x:c r="C141" s="56"/>
      <x:c r="D141" s="64"/>
      <x:c r="E141" s="64"/>
      <x:c r="F141" s="64"/>
      <x:c r="G141" s="66" t="n">
        <x:f>SUM(D141:F141)</x:f>
        <x:v>0</x:v>
      </x:c>
      <x:c r="H141" s="56"/>
    </x:row>
    <x:row r="142">
      <x:c r="A142" s="56"/>
      <x:c r="B142" s="56"/>
      <x:c r="C142" s="56"/>
      <x:c r="D142" s="64"/>
      <x:c r="E142" s="64"/>
      <x:c r="F142" s="64"/>
      <x:c r="G142" s="66" t="n">
        <x:f>SUM(D142:F142)</x:f>
        <x:v>0</x:v>
      </x:c>
      <x:c r="H142" s="56"/>
    </x:row>
    <x:row r="143">
      <x:c r="A143" s="56"/>
      <x:c r="B143" s="56"/>
      <x:c r="C143" s="56"/>
      <x:c r="D143" s="64"/>
      <x:c r="E143" s="64"/>
      <x:c r="F143" s="64"/>
      <x:c r="G143" s="66" t="n">
        <x:f>SUM(D143:F143)</x:f>
        <x:v>0</x:v>
      </x:c>
      <x:c r="H143" s="56"/>
    </x:row>
    <x:row r="144">
      <x:c r="A144" s="56"/>
      <x:c r="B144" s="56"/>
      <x:c r="C144" s="56"/>
      <x:c r="D144" s="64"/>
      <x:c r="E144" s="64"/>
      <x:c r="F144" s="64"/>
      <x:c r="G144" s="66" t="n">
        <x:f>SUM(D144:F144)</x:f>
        <x:v>0</x:v>
      </x:c>
      <x:c r="H144" s="56"/>
    </x:row>
    <x:row r="145">
      <x:c r="A145" s="56"/>
      <x:c r="B145" s="56"/>
      <x:c r="C145" s="56"/>
      <x:c r="D145" s="64"/>
      <x:c r="E145" s="64"/>
      <x:c r="F145" s="64"/>
      <x:c r="G145" s="66" t="n">
        <x:f>SUM(D145:F145)</x:f>
        <x:v>0</x:v>
      </x:c>
      <x:c r="H145" s="56"/>
    </x:row>
    <x:row r="146">
      <x:c r="A146" s="56"/>
      <x:c r="B146" s="56"/>
      <x:c r="C146" s="56"/>
      <x:c r="D146" s="64"/>
      <x:c r="E146" s="64"/>
      <x:c r="F146" s="64"/>
      <x:c r="G146" s="66" t="n">
        <x:f>SUM(D146:F146)</x:f>
        <x:v>0</x:v>
      </x:c>
      <x:c r="H146" s="56"/>
    </x:row>
    <x:row r="147">
      <x:c r="A147" s="56"/>
      <x:c r="B147" s="56"/>
      <x:c r="C147" s="56"/>
      <x:c r="D147" s="64"/>
      <x:c r="E147" s="64"/>
      <x:c r="F147" s="64"/>
      <x:c r="G147" s="66" t="n">
        <x:f>SUM(D147:F147)</x:f>
        <x:v>0</x:v>
      </x:c>
      <x:c r="H147" s="56"/>
    </x:row>
    <x:row r="148">
      <x:c r="A148" s="56"/>
      <x:c r="B148" s="56"/>
      <x:c r="C148" s="56"/>
      <x:c r="D148" s="64"/>
      <x:c r="E148" s="64"/>
      <x:c r="F148" s="64"/>
      <x:c r="G148" s="66" t="n">
        <x:f>SUM(D148:F148)</x:f>
        <x:v>0</x:v>
      </x:c>
      <x:c r="H148" s="56"/>
    </x:row>
    <x:row r="149">
      <x:c r="A149" s="56"/>
      <x:c r="B149" s="56"/>
      <x:c r="C149" s="56"/>
      <x:c r="D149" s="64"/>
      <x:c r="E149" s="64"/>
      <x:c r="F149" s="64"/>
      <x:c r="G149" s="66" t="n">
        <x:f>SUM(D149:F149)</x:f>
        <x:v>0</x:v>
      </x:c>
      <x:c r="H149" s="56"/>
    </x:row>
    <x:row r="150">
      <x:c r="A150" s="56"/>
      <x:c r="B150" s="56"/>
      <x:c r="C150" s="56"/>
      <x:c r="D150" s="64"/>
      <x:c r="E150" s="64"/>
      <x:c r="F150" s="64"/>
      <x:c r="G150" s="66" t="n">
        <x:f>SUM(D150:F150)</x:f>
        <x:v>0</x:v>
      </x:c>
      <x:c r="H150" s="56"/>
    </x:row>
    <x:row r="151">
      <x:c r="A151" s="56"/>
      <x:c r="B151" s="56"/>
      <x:c r="C151" s="56"/>
      <x:c r="D151" s="64"/>
      <x:c r="E151" s="64"/>
      <x:c r="F151" s="64"/>
      <x:c r="G151" s="66" t="n">
        <x:f>SUM(D151:F151)</x:f>
        <x:v>0</x:v>
      </x:c>
      <x:c r="H151" s="56"/>
    </x:row>
    <x:row r="152">
      <x:c r="A152" s="56"/>
      <x:c r="B152" s="56"/>
      <x:c r="C152" s="56"/>
      <x:c r="D152" s="64"/>
      <x:c r="E152" s="64"/>
      <x:c r="F152" s="64"/>
      <x:c r="G152" s="66" t="n">
        <x:f>SUM(D152:F152)</x:f>
        <x:v>0</x:v>
      </x:c>
      <x:c r="H152" s="56"/>
    </x:row>
    <x:row r="153">
      <x:c r="A153" s="56"/>
      <x:c r="B153" s="56"/>
      <x:c r="C153" s="56"/>
      <x:c r="D153" s="64"/>
      <x:c r="E153" s="64"/>
      <x:c r="F153" s="64"/>
      <x:c r="G153" s="66" t="n">
        <x:f>SUM(D153:F153)</x:f>
        <x:v>0</x:v>
      </x:c>
      <x:c r="H153" s="56"/>
    </x:row>
    <x:row r="154">
      <x:c r="A154" s="56"/>
      <x:c r="B154" s="56"/>
      <x:c r="C154" s="56"/>
      <x:c r="D154" s="64"/>
      <x:c r="E154" s="64"/>
      <x:c r="F154" s="64"/>
      <x:c r="G154" s="66" t="n">
        <x:f>SUM(D154:F154)</x:f>
        <x:v>0</x:v>
      </x:c>
      <x:c r="H154" s="56"/>
    </x:row>
    <x:row r="155">
      <x:c r="A155" s="56"/>
      <x:c r="B155" s="56"/>
      <x:c r="C155" s="56"/>
      <x:c r="D155" s="64"/>
      <x:c r="E155" s="64"/>
      <x:c r="F155" s="64"/>
      <x:c r="G155" s="66" t="n">
        <x:f>SUM(D155:F155)</x:f>
        <x:v>0</x:v>
      </x:c>
      <x:c r="H155" s="56"/>
    </x:row>
    <x:row r="156">
      <x:c r="A156" s="56"/>
      <x:c r="B156" s="56"/>
      <x:c r="C156" s="56"/>
      <x:c r="D156" s="64"/>
      <x:c r="E156" s="64"/>
      <x:c r="F156" s="64"/>
      <x:c r="G156" s="66" t="n">
        <x:f>SUM(D156:F156)</x:f>
        <x:v>0</x:v>
      </x:c>
      <x:c r="H156" s="56"/>
    </x:row>
    <x:row r="157">
      <x:c r="A157" s="56"/>
      <x:c r="B157" s="56"/>
      <x:c r="C157" s="56"/>
      <x:c r="D157" s="64"/>
      <x:c r="E157" s="64"/>
      <x:c r="F157" s="64"/>
      <x:c r="G157" s="66" t="n">
        <x:f>SUM(D157:F157)</x:f>
        <x:v>0</x:v>
      </x:c>
      <x:c r="H157" s="56"/>
    </x:row>
    <x:row r="158">
      <x:c r="A158" s="56"/>
      <x:c r="B158" s="56"/>
      <x:c r="C158" s="56"/>
      <x:c r="D158" s="64"/>
      <x:c r="E158" s="64"/>
      <x:c r="F158" s="64"/>
      <x:c r="G158" s="66" t="n">
        <x:f>SUM(D158:F158)</x:f>
        <x:v>0</x:v>
      </x:c>
      <x:c r="H158" s="56"/>
    </x:row>
    <x:row r="159">
      <x:c r="A159" s="56"/>
      <x:c r="B159" s="56"/>
      <x:c r="C159" s="56"/>
      <x:c r="D159" s="64"/>
      <x:c r="E159" s="64"/>
      <x:c r="F159" s="64"/>
      <x:c r="G159" s="66" t="n">
        <x:f>SUM(D159:F159)</x:f>
        <x:v>0</x:v>
      </x:c>
      <x:c r="H159" s="56"/>
    </x:row>
    <x:row r="160">
      <x:c r="A160" s="56"/>
      <x:c r="B160" s="56"/>
      <x:c r="C160" s="56"/>
      <x:c r="D160" s="64"/>
      <x:c r="E160" s="64"/>
      <x:c r="F160" s="64"/>
      <x:c r="G160" s="66" t="n">
        <x:f>SUM(D160:F160)</x:f>
        <x:v>0</x:v>
      </x:c>
      <x:c r="H160" s="56"/>
    </x:row>
    <x:row r="161">
      <x:c r="A161" s="56"/>
      <x:c r="B161" s="56"/>
      <x:c r="C161" s="56"/>
      <x:c r="D161" s="64"/>
      <x:c r="E161" s="64"/>
      <x:c r="F161" s="64"/>
      <x:c r="G161" s="66" t="n">
        <x:f>SUM(D161:F161)</x:f>
        <x:v>0</x:v>
      </x:c>
      <x:c r="H161" s="56"/>
    </x:row>
    <x:row r="162">
      <x:c r="A162" s="56"/>
      <x:c r="B162" s="56"/>
      <x:c r="C162" s="56"/>
      <x:c r="D162" s="64"/>
      <x:c r="E162" s="64"/>
      <x:c r="F162" s="64"/>
      <x:c r="G162" s="66" t="n">
        <x:f>SUM(D162:F162)</x:f>
        <x:v>0</x:v>
      </x:c>
      <x:c r="H162" s="56"/>
    </x:row>
    <x:row r="163">
      <x:c r="A163" s="56"/>
      <x:c r="B163" s="56"/>
      <x:c r="C163" s="56"/>
      <x:c r="D163" s="64"/>
      <x:c r="E163" s="64"/>
      <x:c r="F163" s="64"/>
      <x:c r="G163" s="66" t="n">
        <x:f>SUM(D163:F163)</x:f>
        <x:v>0</x:v>
      </x:c>
      <x:c r="H163" s="56"/>
    </x:row>
    <x:row r="164">
      <x:c r="A164" s="56"/>
      <x:c r="B164" s="56"/>
      <x:c r="C164" s="56"/>
      <x:c r="D164" s="64"/>
      <x:c r="E164" s="64"/>
      <x:c r="F164" s="64"/>
      <x:c r="G164" s="66" t="n">
        <x:f>SUM(D164:F164)</x:f>
        <x:v>0</x:v>
      </x:c>
      <x:c r="H164" s="56"/>
    </x:row>
    <x:row r="165">
      <x:c r="A165" s="56"/>
      <x:c r="B165" s="56"/>
      <x:c r="C165" s="56"/>
      <x:c r="D165" s="64"/>
      <x:c r="E165" s="64"/>
      <x:c r="F165" s="64"/>
      <x:c r="G165" s="66" t="n">
        <x:f>SUM(D165:F165)</x:f>
        <x:v>0</x:v>
      </x:c>
      <x:c r="H165" s="56"/>
    </x:row>
    <x:row r="166">
      <x:c r="A166" s="56"/>
      <x:c r="B166" s="56"/>
      <x:c r="C166" s="56"/>
      <x:c r="D166" s="64"/>
      <x:c r="E166" s="64"/>
      <x:c r="F166" s="64"/>
      <x:c r="G166" s="66" t="n">
        <x:f>SUM(D166:F166)</x:f>
        <x:v>0</x:v>
      </x:c>
      <x:c r="H166" s="56"/>
    </x:row>
    <x:row r="167">
      <x:c r="A167" s="56"/>
      <x:c r="B167" s="56"/>
      <x:c r="C167" s="56"/>
      <x:c r="D167" s="64"/>
      <x:c r="E167" s="64"/>
      <x:c r="F167" s="64"/>
      <x:c r="G167" s="66" t="n">
        <x:f>SUM(D167:F167)</x:f>
        <x:v>0</x:v>
      </x:c>
      <x:c r="H167" s="56"/>
    </x:row>
    <x:row r="168">
      <x:c r="A168" s="56"/>
      <x:c r="B168" s="56"/>
      <x:c r="C168" s="56"/>
      <x:c r="D168" s="64"/>
      <x:c r="E168" s="64"/>
      <x:c r="F168" s="64"/>
      <x:c r="G168" s="66" t="n">
        <x:f>SUM(D168:F168)</x:f>
        <x:v>0</x:v>
      </x:c>
      <x:c r="H168" s="56"/>
    </x:row>
    <x:row r="169">
      <x:c r="A169" s="56"/>
      <x:c r="B169" s="56"/>
      <x:c r="C169" s="56"/>
      <x:c r="D169" s="64"/>
      <x:c r="E169" s="64"/>
      <x:c r="F169" s="64"/>
      <x:c r="G169" s="66" t="n">
        <x:f>SUM(D169:F169)</x:f>
        <x:v>0</x:v>
      </x:c>
      <x:c r="H169" s="56"/>
    </x:row>
    <x:row r="170">
      <x:c r="A170" s="56"/>
      <x:c r="B170" s="56"/>
      <x:c r="C170" s="56"/>
      <x:c r="D170" s="64"/>
      <x:c r="E170" s="64"/>
      <x:c r="F170" s="64"/>
      <x:c r="G170" s="66" t="n">
        <x:f>SUM(D170:F170)</x:f>
        <x:v>0</x:v>
      </x:c>
      <x:c r="H170" s="56"/>
    </x:row>
    <x:row r="171">
      <x:c r="A171" s="56"/>
      <x:c r="B171" s="56"/>
      <x:c r="C171" s="56"/>
      <x:c r="D171" s="64"/>
      <x:c r="E171" s="64"/>
      <x:c r="F171" s="64"/>
      <x:c r="G171" s="66" t="n">
        <x:f>SUM(D171:F171)</x:f>
        <x:v>0</x:v>
      </x:c>
      <x:c r="H171" s="56"/>
    </x:row>
    <x:row r="172">
      <x:c r="A172" s="56"/>
      <x:c r="B172" s="56"/>
      <x:c r="C172" s="56"/>
      <x:c r="D172" s="64"/>
      <x:c r="E172" s="64"/>
      <x:c r="F172" s="64"/>
      <x:c r="G172" s="66" t="n">
        <x:f>SUM(D172:F172)</x:f>
        <x:v>0</x:v>
      </x:c>
      <x:c r="H172" s="56"/>
    </x:row>
    <x:row r="173">
      <x:c r="A173" s="56"/>
      <x:c r="B173" s="56"/>
      <x:c r="C173" s="56"/>
      <x:c r="D173" s="64"/>
      <x:c r="E173" s="64"/>
      <x:c r="F173" s="64"/>
      <x:c r="G173" s="66" t="n">
        <x:f>SUM(D173:F173)</x:f>
        <x:v>0</x:v>
      </x:c>
      <x:c r="H173" s="56"/>
    </x:row>
    <x:row r="174">
      <x:c r="A174" s="56"/>
      <x:c r="B174" s="56"/>
      <x:c r="C174" s="56"/>
      <x:c r="D174" s="64"/>
      <x:c r="E174" s="64"/>
      <x:c r="F174" s="64"/>
      <x:c r="G174" s="66" t="n">
        <x:f>SUM(D174:F174)</x:f>
        <x:v>0</x:v>
      </x:c>
      <x:c r="H174" s="56"/>
    </x:row>
    <x:row r="175">
      <x:c r="A175" s="56"/>
      <x:c r="B175" s="56"/>
      <x:c r="C175" s="56"/>
      <x:c r="D175" s="64"/>
      <x:c r="E175" s="64"/>
      <x:c r="F175" s="64"/>
      <x:c r="G175" s="66" t="n">
        <x:f>SUM(D175:F175)</x:f>
        <x:v>0</x:v>
      </x:c>
      <x:c r="H175" s="56"/>
    </x:row>
    <x:row r="176">
      <x:c r="A176" s="56"/>
      <x:c r="B176" s="56"/>
      <x:c r="C176" s="56"/>
      <x:c r="D176" s="64"/>
      <x:c r="E176" s="64"/>
      <x:c r="F176" s="64"/>
      <x:c r="G176" s="66" t="n">
        <x:f>SUM(D176:F176)</x:f>
        <x:v>0</x:v>
      </x:c>
      <x:c r="H176" s="56"/>
    </x:row>
    <x:row r="177">
      <x:c r="A177" s="56"/>
      <x:c r="B177" s="56"/>
      <x:c r="C177" s="56"/>
      <x:c r="D177" s="64"/>
      <x:c r="E177" s="64"/>
      <x:c r="F177" s="64"/>
      <x:c r="G177" s="66" t="n">
        <x:f>SUM(D177:F177)</x:f>
        <x:v>0</x:v>
      </x:c>
      <x:c r="H177" s="56"/>
    </x:row>
    <x:row r="178">
      <x:c r="A178" s="56"/>
      <x:c r="B178" s="56"/>
      <x:c r="C178" s="56"/>
      <x:c r="D178" s="64"/>
      <x:c r="E178" s="64"/>
      <x:c r="F178" s="64"/>
      <x:c r="G178" s="66" t="n">
        <x:f>SUM(D178:F178)</x:f>
        <x:v>0</x:v>
      </x:c>
      <x:c r="H178" s="56"/>
    </x:row>
    <x:row r="179">
      <x:c r="A179" s="56"/>
      <x:c r="B179" s="56"/>
      <x:c r="C179" s="56"/>
      <x:c r="D179" s="64"/>
      <x:c r="E179" s="64"/>
      <x:c r="F179" s="64"/>
      <x:c r="G179" s="66" t="n">
        <x:f>SUM(D179:F179)</x:f>
        <x:v>0</x:v>
      </x:c>
      <x:c r="H179" s="56"/>
    </x:row>
    <x:row r="180">
      <x:c r="A180" s="56"/>
      <x:c r="B180" s="56"/>
      <x:c r="C180" s="56"/>
      <x:c r="D180" s="64"/>
      <x:c r="E180" s="64"/>
      <x:c r="F180" s="64"/>
      <x:c r="G180" s="66" t="n">
        <x:f>SUM(D180:F180)</x:f>
        <x:v>0</x:v>
      </x:c>
      <x:c r="H180" s="56"/>
    </x:row>
    <x:row r="181">
      <x:c r="A181" s="56"/>
      <x:c r="B181" s="56"/>
      <x:c r="C181" s="56"/>
      <x:c r="D181" s="64"/>
      <x:c r="E181" s="64"/>
      <x:c r="F181" s="64"/>
      <x:c r="G181" s="66" t="n">
        <x:f>SUM(D181:F181)</x:f>
        <x:v>0</x:v>
      </x:c>
      <x:c r="H181" s="56"/>
    </x:row>
    <x:row r="182">
      <x:c r="A182" s="56"/>
      <x:c r="B182" s="56"/>
      <x:c r="C182" s="56"/>
      <x:c r="D182" s="64"/>
      <x:c r="E182" s="64"/>
      <x:c r="F182" s="64"/>
      <x:c r="G182" s="66" t="n">
        <x:f>SUM(D182:F182)</x:f>
        <x:v>0</x:v>
      </x:c>
      <x:c r="H182" s="56"/>
    </x:row>
    <x:row r="183">
      <x:c r="A183" s="56"/>
      <x:c r="B183" s="56"/>
      <x:c r="C183" s="56"/>
      <x:c r="D183" s="64"/>
      <x:c r="E183" s="64"/>
      <x:c r="F183" s="64"/>
      <x:c r="G183" s="66" t="n">
        <x:f>SUM(D183:F183)</x:f>
        <x:v>0</x:v>
      </x:c>
      <x:c r="H183" s="56"/>
    </x:row>
    <x:row r="184">
      <x:c r="A184" s="56"/>
      <x:c r="B184" s="56"/>
      <x:c r="C184" s="56"/>
      <x:c r="D184" s="64"/>
      <x:c r="E184" s="64"/>
      <x:c r="F184" s="64"/>
      <x:c r="G184" s="66" t="n">
        <x:f>SUM(D184:F184)</x:f>
        <x:v>0</x:v>
      </x:c>
      <x:c r="H184" s="56"/>
    </x:row>
    <x:row r="185">
      <x:c r="A185" s="56"/>
      <x:c r="B185" s="56"/>
      <x:c r="C185" s="56"/>
      <x:c r="D185" s="64"/>
      <x:c r="E185" s="64"/>
      <x:c r="F185" s="64"/>
      <x:c r="G185" s="66" t="n">
        <x:f>SUM(D185:F185)</x:f>
        <x:v>0</x:v>
      </x:c>
      <x:c r="H185" s="56"/>
    </x:row>
    <x:row r="186">
      <x:c r="A186" s="56"/>
      <x:c r="B186" s="56"/>
      <x:c r="C186" s="56"/>
      <x:c r="D186" s="64"/>
      <x:c r="E186" s="64"/>
      <x:c r="F186" s="64"/>
      <x:c r="G186" s="66" t="n">
        <x:f>SUM(D186:F186)</x:f>
        <x:v>0</x:v>
      </x:c>
      <x:c r="H186" s="56"/>
    </x:row>
    <x:row r="187">
      <x:c r="A187" s="56"/>
      <x:c r="B187" s="56"/>
      <x:c r="C187" s="56"/>
      <x:c r="D187" s="64"/>
      <x:c r="E187" s="64"/>
      <x:c r="F187" s="64"/>
      <x:c r="G187" s="66" t="n">
        <x:f>SUM(D187:F187)</x:f>
        <x:v>0</x:v>
      </x:c>
      <x:c r="H187" s="56"/>
    </x:row>
    <x:row r="188">
      <x:c r="A188" s="56"/>
      <x:c r="B188" s="56"/>
      <x:c r="C188" s="56"/>
      <x:c r="D188" s="64"/>
      <x:c r="E188" s="64"/>
      <x:c r="F188" s="64"/>
      <x:c r="G188" s="66" t="n">
        <x:f>SUM(D188:F188)</x:f>
        <x:v>0</x:v>
      </x:c>
      <x:c r="H188" s="56"/>
    </x:row>
    <x:row r="189">
      <x:c r="A189" s="56"/>
      <x:c r="B189" s="56"/>
      <x:c r="C189" s="56"/>
      <x:c r="D189" s="64"/>
      <x:c r="E189" s="64"/>
      <x:c r="F189" s="64"/>
      <x:c r="G189" s="66" t="n">
        <x:f>SUM(D189:F189)</x:f>
        <x:v>0</x:v>
      </x:c>
      <x:c r="H189" s="56"/>
    </x:row>
    <x:row r="190">
      <x:c r="A190" s="56"/>
      <x:c r="B190" s="56"/>
      <x:c r="C190" s="56"/>
      <x:c r="D190" s="64"/>
      <x:c r="E190" s="64"/>
      <x:c r="F190" s="64"/>
      <x:c r="G190" s="66" t="n">
        <x:f>SUM(D190:F190)</x:f>
        <x:v>0</x:v>
      </x:c>
      <x:c r="H190" s="56"/>
    </x:row>
    <x:row r="191">
      <x:c r="A191" s="56"/>
      <x:c r="B191" s="56"/>
      <x:c r="C191" s="56"/>
      <x:c r="D191" s="64"/>
      <x:c r="E191" s="64"/>
      <x:c r="F191" s="64"/>
      <x:c r="G191" s="66" t="n">
        <x:f>SUM(D191:F191)</x:f>
        <x:v>0</x:v>
      </x:c>
      <x:c r="H191" s="56"/>
    </x:row>
    <x:row r="192">
      <x:c r="A192" s="56"/>
      <x:c r="B192" s="56"/>
      <x:c r="C192" s="56"/>
      <x:c r="D192" s="64"/>
      <x:c r="E192" s="64"/>
      <x:c r="F192" s="64"/>
      <x:c r="G192" s="66" t="n">
        <x:f>SUM(D192:F192)</x:f>
        <x:v>0</x:v>
      </x:c>
      <x:c r="H192" s="56"/>
    </x:row>
    <x:row r="193">
      <x:c r="A193" s="56"/>
      <x:c r="B193" s="56"/>
      <x:c r="C193" s="56"/>
      <x:c r="D193" s="64"/>
      <x:c r="E193" s="64"/>
      <x:c r="F193" s="64"/>
      <x:c r="G193" s="66" t="n">
        <x:f>SUM(D193:F193)</x:f>
        <x:v>0</x:v>
      </x:c>
      <x:c r="H193" s="56"/>
    </x:row>
    <x:row r="194">
      <x:c r="A194" s="56"/>
      <x:c r="B194" s="56"/>
      <x:c r="C194" s="56"/>
      <x:c r="D194" s="64"/>
      <x:c r="E194" s="64"/>
      <x:c r="F194" s="64"/>
      <x:c r="G194" s="66" t="n">
        <x:f>SUM(D194:F194)</x:f>
        <x:v>0</x:v>
      </x:c>
      <x:c r="H194" s="56"/>
    </x:row>
    <x:row r="195">
      <x:c r="A195" s="56"/>
      <x:c r="B195" s="56"/>
      <x:c r="C195" s="56"/>
      <x:c r="D195" s="64"/>
      <x:c r="E195" s="64"/>
      <x:c r="F195" s="64"/>
      <x:c r="G195" s="66" t="n">
        <x:f>SUM(D195:F195)</x:f>
        <x:v>0</x:v>
      </x:c>
      <x:c r="H195" s="56"/>
    </x:row>
    <x:row r="196">
      <x:c r="A196" s="56"/>
      <x:c r="B196" s="56"/>
      <x:c r="C196" s="56"/>
      <x:c r="D196" s="64"/>
      <x:c r="E196" s="64"/>
      <x:c r="F196" s="64"/>
      <x:c r="G196" s="66" t="n">
        <x:f>SUM(D196:F196)</x:f>
        <x:v>0</x:v>
      </x:c>
      <x:c r="H196" s="56"/>
    </x:row>
    <x:row r="197">
      <x:c r="A197" s="56"/>
      <x:c r="B197" s="56"/>
      <x:c r="C197" s="56"/>
      <x:c r="D197" s="64"/>
      <x:c r="E197" s="64"/>
      <x:c r="F197" s="64"/>
      <x:c r="G197" s="66" t="n">
        <x:f>SUM(D197:F197)</x:f>
        <x:v>0</x:v>
      </x:c>
      <x:c r="H197" s="56"/>
    </x:row>
    <x:row r="198">
      <x:c r="A198" s="56"/>
      <x:c r="B198" s="56"/>
      <x:c r="C198" s="56"/>
      <x:c r="D198" s="64"/>
      <x:c r="E198" s="64"/>
      <x:c r="F198" s="64"/>
      <x:c r="G198" s="66" t="n">
        <x:f>SUM(D198:F198)</x:f>
        <x:v>0</x:v>
      </x:c>
      <x:c r="H198" s="56"/>
    </x:row>
    <x:row r="199">
      <x:c r="A199" s="56"/>
      <x:c r="B199" s="56"/>
      <x:c r="C199" s="56"/>
      <x:c r="D199" s="64"/>
      <x:c r="E199" s="64"/>
      <x:c r="F199" s="64"/>
      <x:c r="G199" s="66" t="n">
        <x:f>SUM(D199:F199)</x:f>
        <x:v>0</x:v>
      </x:c>
      <x:c r="H199" s="56"/>
    </x:row>
    <x:row r="200">
      <x:c r="A200" s="56"/>
      <x:c r="B200" s="56"/>
      <x:c r="C200" s="56"/>
      <x:c r="D200" s="64"/>
      <x:c r="E200" s="64"/>
      <x:c r="F200" s="64"/>
      <x:c r="G200" s="66" t="n">
        <x:f>SUM(D200:F200)</x:f>
        <x:v>0</x:v>
      </x:c>
      <x:c r="H200" s="56"/>
    </x:row>
    <x:row r="201">
      <x:c r="A201" s="56"/>
      <x:c r="B201" s="56"/>
      <x:c r="C201" s="56"/>
      <x:c r="D201" s="64"/>
      <x:c r="E201" s="64"/>
      <x:c r="F201" s="64"/>
      <x:c r="G201" s="66" t="n">
        <x:f>SUM(D201:F201)</x:f>
        <x:v>0</x:v>
      </x:c>
      <x:c r="H201" s="56"/>
    </x:row>
    <x:row r="202">
      <x:c r="A202" s="56"/>
      <x:c r="B202" s="56"/>
      <x:c r="C202" s="56"/>
      <x:c r="D202" s="64"/>
      <x:c r="E202" s="64"/>
      <x:c r="F202" s="64"/>
      <x:c r="G202" s="66" t="n">
        <x:f>SUM(D202:F202)</x:f>
        <x:v>0</x:v>
      </x:c>
      <x:c r="H202" s="56"/>
    </x:row>
    <x:row r="203">
      <x:c r="A203" s="56"/>
      <x:c r="B203" s="56"/>
      <x:c r="C203" s="56"/>
      <x:c r="D203" s="64"/>
      <x:c r="E203" s="64"/>
      <x:c r="F203" s="64"/>
      <x:c r="G203" s="66" t="n">
        <x:f>SUM(D203:F203)</x:f>
        <x:v>0</x:v>
      </x:c>
      <x:c r="H203" s="56"/>
    </x:row>
    <x:row r="204">
      <x:c r="A204" s="56"/>
      <x:c r="B204" s="56"/>
      <x:c r="C204" s="56"/>
      <x:c r="D204" s="64"/>
      <x:c r="E204" s="64"/>
      <x:c r="F204" s="64"/>
      <x:c r="G204" s="66" t="n">
        <x:f>SUM(D204:F204)</x:f>
        <x:v>0</x:v>
      </x:c>
      <x:c r="H204" s="56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980000019073486" hidden="0" customWidth="1"/>
    <x:col min="2" max="2" width="22.700000762939453" hidden="0" customWidth="1"/>
    <x:col min="3" max="3" width="31.290000915527344" hidden="0" customWidth="1"/>
    <x:col min="4" max="4" width="14.109999656677246" hidden="0" customWidth="1"/>
    <x:col min="5" max="5" width="11.65999984741211" hidden="0" customWidth="1"/>
    <x:col min="6" max="6" width="17.790000915527344" hidden="0" customWidth="1"/>
    <x:col min="7" max="7" width="17.790000915527344" hidden="0" customWidth="1"/>
    <x:col min="8" max="8" width="12.880000114440918" hidden="0" customWidth="1"/>
    <x:col min="9" max="9" width="17.790000915527344" hidden="0" customWidth="1"/>
    <x:col min="10" max="10" width="50.91999816894531" hidden="0" customWidth="1"/>
    <x:col min="12" max="12" width="17.790000915527344" hidden="0" customWidth="1"/>
    <x:col min="13" max="13" width="50.91999816894531" hidden="0" customWidth="1"/>
  </x:cols>
  <x:sheetData>
    <x:row r="1">
      <x:c r="A1" s="49" t="str">
        <x:v>보금자리</x:v>
      </x:c>
      <x:c r="B1" s="50"/>
      <x:c r="C1" s="50"/>
      <x:c r="D1" s="50"/>
      <x:c r="E1" s="50"/>
      <x:c r="F1" s="50"/>
      <x:c r="G1" s="50"/>
      <x:c r="H1" s="50"/>
      <x:c r="I1" s="50"/>
      <x:c r="J1" s="50"/>
      <x:c r="K1" s="50"/>
      <x:c r="L1" s="50"/>
      <x:c r="M1" s="50"/>
    </x:row>
    <x:row r="2">
      <x:c r="A2" s="49" t="str">
        <x:v>거주 후보 아파트의 가격과 조건을 비교합니다.</x:v>
      </x:c>
      <x:c r="B2" s="50"/>
      <x:c r="C2" s="50"/>
      <x:c r="D2" s="50"/>
      <x:c r="E2" s="50"/>
      <x:c r="F2" s="50"/>
      <x:c r="G2" s="50"/>
      <x:c r="H2" s="50"/>
      <x:c r="I2" s="50"/>
      <x:c r="J2" s="50"/>
      <x:c r="K2" s="50"/>
      <x:c r="L2" s="50"/>
      <x:c r="M2" s="50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0"/>
      <x:c r="M3" s="50"/>
    </x:row>
    <x:row r="4">
      <x:c r="A4" s="55" t="str">
        <x:v>순서</x:v>
      </x:c>
      <x:c r="B4" s="55" t="str">
        <x:v>아파트명</x:v>
      </x:c>
      <x:c r="C4" s="55" t="str">
        <x:v>위치</x:v>
      </x:c>
      <x:c r="D4" s="55" t="str">
        <x:v>공급면적</x:v>
      </x:c>
      <x:c r="E4" s="55" t="str">
        <x:v>평수</x:v>
      </x:c>
      <x:c r="F4" s="55" t="str">
        <x:v>호갱노노 금액</x:v>
      </x:c>
      <x:c r="G4" s="55" t="str">
        <x:v>네이버 금액</x:v>
      </x:c>
      <x:c r="H4" s="55" t="str">
        <x:v>주차공간</x:v>
      </x:c>
      <x:c r="I4" s="55" t="str">
        <x:v>해방향</x:v>
      </x:c>
      <x:c r="J4" s="55" t="str">
        <x:v>메모</x:v>
      </x:c>
      <x:c r="K4" s="50"/>
      <x:c r="L4" s="53" t="str">
        <x:v>해방향 참고</x:v>
      </x:c>
      <x:c r="M4" s="53" t="str">
        <x:v>설명</x:v>
      </x:c>
    </x:row>
    <x:row r="5">
      <x:c r="A5" s="56"/>
      <x:c r="B5" s="56"/>
      <x:c r="C5" s="56"/>
      <x:c r="D5" s="56"/>
      <x:c r="E5" s="56"/>
      <x:c r="F5" s="64"/>
      <x:c r="G5" s="64"/>
      <x:c r="H5" s="56"/>
      <x:c r="I5" s="56"/>
      <x:c r="J5" s="56"/>
      <x:c r="K5" s="50"/>
      <x:c r="L5" s="54" t="str">
        <x:v>동향</x:v>
      </x:c>
      <x:c r="M5" s="54" t="str">
        <x:v>아침 일찍 해가 깊게 들어 오전에 활동이 많은 분들에게 좋습니다.</x:v>
      </x:c>
    </x:row>
    <x:row r="6">
      <x:c r="A6" s="56"/>
      <x:c r="B6" s="56"/>
      <x:c r="C6" s="56"/>
      <x:c r="D6" s="56"/>
      <x:c r="E6" s="56"/>
      <x:c r="F6" s="64"/>
      <x:c r="G6" s="64"/>
      <x:c r="H6" s="56"/>
      <x:c r="I6" s="56"/>
      <x:c r="J6" s="56"/>
      <x:c r="K6" s="50"/>
      <x:c r="L6" s="54" t="str">
        <x:v>서향</x:v>
      </x:c>
      <x:c r="M6" s="54" t="str">
        <x:v>오후 늦게까지 해가 길게 들어 겨울철에 따뜻하며, 맞벌이 가구에게 적합합니다.</x:v>
      </x:c>
    </x:row>
    <x:row r="7">
      <x:c r="A7" s="56"/>
      <x:c r="B7" s="56"/>
      <x:c r="C7" s="56"/>
      <x:c r="D7" s="56"/>
      <x:c r="E7" s="56"/>
      <x:c r="F7" s="64"/>
      <x:c r="G7" s="64"/>
      <x:c r="H7" s="56"/>
      <x:c r="I7" s="56"/>
      <x:c r="J7" s="56"/>
      <x:c r="K7" s="50"/>
      <x:c r="L7" s="54" t="str">
        <x:v>남동향 / 남서향</x:v>
      </x:c>
      <x:c r="M7" s="54" t="str">
        <x:v>남향을 기준으로 동쪽이나 서쪽으로 약간 치우친 방향으로, 남향 다음으로 선호도가 높습니다.</x:v>
      </x:c>
    </x:row>
    <x:row r="8">
      <x:c r="A8" s="56"/>
      <x:c r="B8" s="56"/>
      <x:c r="C8" s="56"/>
      <x:c r="D8" s="56"/>
      <x:c r="E8" s="56"/>
      <x:c r="F8" s="64"/>
      <x:c r="G8" s="64"/>
      <x:c r="H8" s="56"/>
      <x:c r="I8" s="56"/>
      <x:c r="J8" s="56"/>
      <x:c r="K8" s="50"/>
      <x:c r="L8" s="50" t="str"/>
      <x:c r="M8" s="50" t="str"/>
    </x:row>
    <x:row r="9">
      <x:c r="A9" s="56"/>
      <x:c r="B9" s="56"/>
      <x:c r="C9" s="56"/>
      <x:c r="D9" s="56"/>
      <x:c r="E9" s="56"/>
      <x:c r="F9" s="64"/>
      <x:c r="G9" s="64"/>
      <x:c r="H9" s="56"/>
      <x:c r="I9" s="56"/>
      <x:c r="J9" s="56"/>
      <x:c r="K9" s="50"/>
      <x:c r="L9" s="50"/>
      <x:c r="M9" s="50"/>
    </x:row>
    <x:row r="10">
      <x:c r="A10" s="56"/>
      <x:c r="B10" s="56"/>
      <x:c r="C10" s="56"/>
      <x:c r="D10" s="56"/>
      <x:c r="E10" s="56"/>
      <x:c r="F10" s="64"/>
      <x:c r="G10" s="64"/>
      <x:c r="H10" s="56"/>
      <x:c r="I10" s="56"/>
      <x:c r="J10" s="56"/>
      <x:c r="K10" s="50"/>
      <x:c r="L10" s="50"/>
      <x:c r="M10" s="50"/>
    </x:row>
    <x:row r="11">
      <x:c r="A11" s="56"/>
      <x:c r="B11" s="56"/>
      <x:c r="C11" s="56"/>
      <x:c r="D11" s="56"/>
      <x:c r="E11" s="56"/>
      <x:c r="F11" s="64"/>
      <x:c r="G11" s="64"/>
      <x:c r="H11" s="56"/>
      <x:c r="I11" s="56"/>
      <x:c r="J11" s="56"/>
      <x:c r="K11" s="50"/>
      <x:c r="L11" s="50"/>
      <x:c r="M11" s="50"/>
    </x:row>
    <x:row r="12">
      <x:c r="A12" s="56"/>
      <x:c r="B12" s="56"/>
      <x:c r="C12" s="56"/>
      <x:c r="D12" s="56"/>
      <x:c r="E12" s="56"/>
      <x:c r="F12" s="64"/>
      <x:c r="G12" s="64"/>
      <x:c r="H12" s="56"/>
      <x:c r="I12" s="56"/>
      <x:c r="J12" s="56"/>
      <x:c r="K12" s="50"/>
      <x:c r="L12" s="50"/>
      <x:c r="M12" s="50"/>
    </x:row>
    <x:row r="13">
      <x:c r="A13" s="56"/>
      <x:c r="B13" s="56"/>
      <x:c r="C13" s="56"/>
      <x:c r="D13" s="56"/>
      <x:c r="E13" s="56"/>
      <x:c r="F13" s="64"/>
      <x:c r="G13" s="64"/>
      <x:c r="H13" s="56"/>
      <x:c r="I13" s="56"/>
      <x:c r="J13" s="56"/>
      <x:c r="K13" s="50"/>
      <x:c r="L13" s="50"/>
      <x:c r="M13" s="50"/>
    </x:row>
    <x:row r="14">
      <x:c r="A14" s="56"/>
      <x:c r="B14" s="56"/>
      <x:c r="C14" s="56"/>
      <x:c r="D14" s="56"/>
      <x:c r="E14" s="56"/>
      <x:c r="F14" s="64"/>
      <x:c r="G14" s="64"/>
      <x:c r="H14" s="56"/>
      <x:c r="I14" s="56"/>
      <x:c r="J14" s="56"/>
      <x:c r="K14" s="50"/>
      <x:c r="L14" s="50"/>
      <x:c r="M14" s="50"/>
    </x:row>
    <x:row r="15">
      <x:c r="A15" s="56"/>
      <x:c r="B15" s="56"/>
      <x:c r="C15" s="56"/>
      <x:c r="D15" s="56"/>
      <x:c r="E15" s="56"/>
      <x:c r="F15" s="64"/>
      <x:c r="G15" s="64"/>
      <x:c r="H15" s="56"/>
      <x:c r="I15" s="56"/>
      <x:c r="J15" s="56"/>
      <x:c r="K15" s="50"/>
      <x:c r="L15" s="50"/>
      <x:c r="M15" s="50"/>
    </x:row>
    <x:row r="16">
      <x:c r="A16" s="56"/>
      <x:c r="B16" s="56"/>
      <x:c r="C16" s="56"/>
      <x:c r="D16" s="56"/>
      <x:c r="E16" s="56"/>
      <x:c r="F16" s="64"/>
      <x:c r="G16" s="64"/>
      <x:c r="H16" s="56"/>
      <x:c r="I16" s="56"/>
      <x:c r="J16" s="56"/>
      <x:c r="K16" s="50"/>
      <x:c r="L16" s="50"/>
      <x:c r="M16" s="50"/>
    </x:row>
    <x:row r="17">
      <x:c r="A17" s="56"/>
      <x:c r="B17" s="56"/>
      <x:c r="C17" s="56"/>
      <x:c r="D17" s="56"/>
      <x:c r="E17" s="56"/>
      <x:c r="F17" s="64"/>
      <x:c r="G17" s="64"/>
      <x:c r="H17" s="56"/>
      <x:c r="I17" s="56"/>
      <x:c r="J17" s="56"/>
      <x:c r="K17" s="50"/>
      <x:c r="L17" s="50"/>
      <x:c r="M17" s="50"/>
    </x:row>
    <x:row r="18">
      <x:c r="A18" s="56"/>
      <x:c r="B18" s="56"/>
      <x:c r="C18" s="56"/>
      <x:c r="D18" s="56"/>
      <x:c r="E18" s="56"/>
      <x:c r="F18" s="64"/>
      <x:c r="G18" s="64"/>
      <x:c r="H18" s="56"/>
      <x:c r="I18" s="56"/>
      <x:c r="J18" s="56"/>
      <x:c r="K18" s="50"/>
      <x:c r="L18" s="50"/>
      <x:c r="M18" s="50"/>
    </x:row>
    <x:row r="19">
      <x:c r="A19" s="56"/>
      <x:c r="B19" s="56"/>
      <x:c r="C19" s="56"/>
      <x:c r="D19" s="56"/>
      <x:c r="E19" s="56"/>
      <x:c r="F19" s="64"/>
      <x:c r="G19" s="64"/>
      <x:c r="H19" s="56"/>
      <x:c r="I19" s="56"/>
      <x:c r="J19" s="56"/>
      <x:c r="K19" s="50"/>
      <x:c r="L19" s="50"/>
      <x:c r="M19" s="50"/>
    </x:row>
    <x:row r="20">
      <x:c r="A20" s="56"/>
      <x:c r="B20" s="56"/>
      <x:c r="C20" s="56"/>
      <x:c r="D20" s="56"/>
      <x:c r="E20" s="56"/>
      <x:c r="F20" s="64"/>
      <x:c r="G20" s="64"/>
      <x:c r="H20" s="56"/>
      <x:c r="I20" s="56"/>
      <x:c r="J20" s="56"/>
      <x:c r="K20" s="50"/>
      <x:c r="L20" s="50"/>
      <x:c r="M20" s="50"/>
    </x:row>
    <x:row r="21">
      <x:c r="A21" s="56"/>
      <x:c r="B21" s="56"/>
      <x:c r="C21" s="56"/>
      <x:c r="D21" s="56"/>
      <x:c r="E21" s="56"/>
      <x:c r="F21" s="64"/>
      <x:c r="G21" s="64"/>
      <x:c r="H21" s="56"/>
      <x:c r="I21" s="56"/>
      <x:c r="J21" s="56"/>
      <x:c r="K21" s="50"/>
      <x:c r="L21" s="50"/>
      <x:c r="M21" s="50"/>
    </x:row>
    <x:row r="22">
      <x:c r="A22" s="56"/>
      <x:c r="B22" s="56"/>
      <x:c r="C22" s="56"/>
      <x:c r="D22" s="56"/>
      <x:c r="E22" s="56"/>
      <x:c r="F22" s="64"/>
      <x:c r="G22" s="64"/>
      <x:c r="H22" s="56"/>
      <x:c r="I22" s="56"/>
      <x:c r="J22" s="56"/>
      <x:c r="K22" s="50"/>
      <x:c r="L22" s="50"/>
      <x:c r="M22" s="50"/>
    </x:row>
    <x:row r="23">
      <x:c r="A23" s="56"/>
      <x:c r="B23" s="56"/>
      <x:c r="C23" s="56"/>
      <x:c r="D23" s="56"/>
      <x:c r="E23" s="56"/>
      <x:c r="F23" s="64"/>
      <x:c r="G23" s="64"/>
      <x:c r="H23" s="56"/>
      <x:c r="I23" s="56"/>
      <x:c r="J23" s="56"/>
      <x:c r="K23" s="50"/>
      <x:c r="L23" s="50"/>
      <x:c r="M23" s="50"/>
    </x:row>
    <x:row r="24">
      <x:c r="A24" s="56"/>
      <x:c r="B24" s="56"/>
      <x:c r="C24" s="56"/>
      <x:c r="D24" s="56"/>
      <x:c r="E24" s="56"/>
      <x:c r="F24" s="64"/>
      <x:c r="G24" s="64"/>
      <x:c r="H24" s="56"/>
      <x:c r="I24" s="56"/>
      <x:c r="J24" s="56"/>
      <x:c r="K24" s="50"/>
      <x:c r="L24" s="50"/>
      <x:c r="M24" s="50"/>
    </x:row>
    <x:row r="25">
      <x:c r="A25" s="56"/>
      <x:c r="B25" s="56"/>
      <x:c r="C25" s="56"/>
      <x:c r="D25" s="56"/>
      <x:c r="E25" s="56"/>
      <x:c r="F25" s="64"/>
      <x:c r="G25" s="64"/>
      <x:c r="H25" s="56"/>
      <x:c r="I25" s="56"/>
      <x:c r="J25" s="56"/>
      <x:c r="K25" s="50"/>
      <x:c r="L25" s="50"/>
      <x:c r="M25" s="50"/>
    </x:row>
    <x:row r="26">
      <x:c r="A26" s="56"/>
      <x:c r="B26" s="56"/>
      <x:c r="C26" s="56"/>
      <x:c r="D26" s="56"/>
      <x:c r="E26" s="56"/>
      <x:c r="F26" s="64"/>
      <x:c r="G26" s="64"/>
      <x:c r="H26" s="56"/>
      <x:c r="I26" s="56"/>
      <x:c r="J26" s="56"/>
      <x:c r="K26" s="50"/>
      <x:c r="L26" s="50"/>
      <x:c r="M26" s="50"/>
    </x:row>
    <x:row r="27">
      <x:c r="A27" s="56"/>
      <x:c r="B27" s="56"/>
      <x:c r="C27" s="56"/>
      <x:c r="D27" s="56"/>
      <x:c r="E27" s="56"/>
      <x:c r="F27" s="64"/>
      <x:c r="G27" s="64"/>
      <x:c r="H27" s="56"/>
      <x:c r="I27" s="56"/>
      <x:c r="J27" s="56"/>
      <x:c r="K27" s="50"/>
      <x:c r="L27" s="50"/>
      <x:c r="M27" s="50"/>
    </x:row>
    <x:row r="28">
      <x:c r="A28" s="56"/>
      <x:c r="B28" s="56"/>
      <x:c r="C28" s="56"/>
      <x:c r="D28" s="56"/>
      <x:c r="E28" s="56"/>
      <x:c r="F28" s="64"/>
      <x:c r="G28" s="64"/>
      <x:c r="H28" s="56"/>
      <x:c r="I28" s="56"/>
      <x:c r="J28" s="56"/>
      <x:c r="K28" s="50"/>
      <x:c r="L28" s="50"/>
      <x:c r="M28" s="50"/>
    </x:row>
    <x:row r="29">
      <x:c r="A29" s="56"/>
      <x:c r="B29" s="56"/>
      <x:c r="C29" s="56"/>
      <x:c r="D29" s="56"/>
      <x:c r="E29" s="56"/>
      <x:c r="F29" s="64"/>
      <x:c r="G29" s="64"/>
      <x:c r="H29" s="56"/>
      <x:c r="I29" s="56"/>
      <x:c r="J29" s="56"/>
      <x:c r="K29" s="50"/>
      <x:c r="L29" s="50"/>
      <x:c r="M29" s="50"/>
    </x:row>
    <x:row r="30">
      <x:c r="A30" s="56"/>
      <x:c r="B30" s="56"/>
      <x:c r="C30" s="56"/>
      <x:c r="D30" s="56"/>
      <x:c r="E30" s="56"/>
      <x:c r="F30" s="64"/>
      <x:c r="G30" s="64"/>
      <x:c r="H30" s="56"/>
      <x:c r="I30" s="56"/>
      <x:c r="J30" s="56"/>
      <x:c r="K30" s="50"/>
      <x:c r="L30" s="50"/>
      <x:c r="M30" s="50"/>
    </x:row>
    <x:row r="31">
      <x:c r="A31" s="56"/>
      <x:c r="B31" s="56"/>
      <x:c r="C31" s="56"/>
      <x:c r="D31" s="56"/>
      <x:c r="E31" s="56"/>
      <x:c r="F31" s="64"/>
      <x:c r="G31" s="64"/>
      <x:c r="H31" s="56"/>
      <x:c r="I31" s="56"/>
      <x:c r="J31" s="56"/>
      <x:c r="K31" s="50"/>
      <x:c r="L31" s="50"/>
      <x:c r="M31" s="50"/>
    </x:row>
    <x:row r="32">
      <x:c r="A32" s="56"/>
      <x:c r="B32" s="56"/>
      <x:c r="C32" s="56"/>
      <x:c r="D32" s="56"/>
      <x:c r="E32" s="56"/>
      <x:c r="F32" s="64"/>
      <x:c r="G32" s="64"/>
      <x:c r="H32" s="56"/>
      <x:c r="I32" s="56"/>
      <x:c r="J32" s="56"/>
      <x:c r="K32" s="50"/>
      <x:c r="L32" s="50"/>
      <x:c r="M32" s="50"/>
    </x:row>
    <x:row r="33">
      <x:c r="A33" s="56"/>
      <x:c r="B33" s="56"/>
      <x:c r="C33" s="56"/>
      <x:c r="D33" s="56"/>
      <x:c r="E33" s="56"/>
      <x:c r="F33" s="64"/>
      <x:c r="G33" s="64"/>
      <x:c r="H33" s="56"/>
      <x:c r="I33" s="56"/>
      <x:c r="J33" s="56"/>
      <x:c r="K33" s="50"/>
      <x:c r="L33" s="50"/>
      <x:c r="M33" s="50"/>
    </x:row>
    <x:row r="34">
      <x:c r="A34" s="56"/>
      <x:c r="B34" s="56"/>
      <x:c r="C34" s="56"/>
      <x:c r="D34" s="56"/>
      <x:c r="E34" s="56"/>
      <x:c r="F34" s="64"/>
      <x:c r="G34" s="64"/>
      <x:c r="H34" s="56"/>
      <x:c r="I34" s="56"/>
      <x:c r="J34" s="56"/>
      <x:c r="K34" s="50"/>
      <x:c r="L34" s="50"/>
      <x:c r="M34" s="50"/>
    </x:row>
    <x:row r="35">
      <x:c r="A35" s="56"/>
      <x:c r="B35" s="56"/>
      <x:c r="C35" s="56"/>
      <x:c r="D35" s="56"/>
      <x:c r="E35" s="56"/>
      <x:c r="F35" s="64"/>
      <x:c r="G35" s="64"/>
      <x:c r="H35" s="56"/>
      <x:c r="I35" s="56"/>
      <x:c r="J35" s="56"/>
      <x:c r="K35" s="50"/>
      <x:c r="L35" s="50"/>
      <x:c r="M35" s="50"/>
    </x:row>
    <x:row r="36">
      <x:c r="A36" s="56"/>
      <x:c r="B36" s="56"/>
      <x:c r="C36" s="56"/>
      <x:c r="D36" s="56"/>
      <x:c r="E36" s="56"/>
      <x:c r="F36" s="64"/>
      <x:c r="G36" s="64"/>
      <x:c r="H36" s="56"/>
      <x:c r="I36" s="56"/>
      <x:c r="J36" s="56"/>
      <x:c r="K36" s="50"/>
      <x:c r="L36" s="50"/>
      <x:c r="M36" s="50"/>
    </x:row>
    <x:row r="37">
      <x:c r="A37" s="56"/>
      <x:c r="B37" s="56"/>
      <x:c r="C37" s="56"/>
      <x:c r="D37" s="56"/>
      <x:c r="E37" s="56"/>
      <x:c r="F37" s="64"/>
      <x:c r="G37" s="64"/>
      <x:c r="H37" s="56"/>
      <x:c r="I37" s="56"/>
      <x:c r="J37" s="56"/>
      <x:c r="K37" s="50"/>
      <x:c r="L37" s="50"/>
      <x:c r="M37" s="50"/>
    </x:row>
    <x:row r="38">
      <x:c r="A38" s="56"/>
      <x:c r="B38" s="56"/>
      <x:c r="C38" s="56"/>
      <x:c r="D38" s="56"/>
      <x:c r="E38" s="56"/>
      <x:c r="F38" s="64"/>
      <x:c r="G38" s="64"/>
      <x:c r="H38" s="56"/>
      <x:c r="I38" s="56"/>
      <x:c r="J38" s="56"/>
      <x:c r="K38" s="50"/>
      <x:c r="L38" s="50"/>
      <x:c r="M38" s="50"/>
    </x:row>
    <x:row r="39">
      <x:c r="A39" s="56"/>
      <x:c r="B39" s="56"/>
      <x:c r="C39" s="56"/>
      <x:c r="D39" s="56"/>
      <x:c r="E39" s="56"/>
      <x:c r="F39" s="64"/>
      <x:c r="G39" s="64"/>
      <x:c r="H39" s="56"/>
      <x:c r="I39" s="56"/>
      <x:c r="J39" s="56"/>
      <x:c r="K39" s="50"/>
      <x:c r="L39" s="50"/>
      <x:c r="M39" s="50"/>
    </x:row>
    <x:row r="40">
      <x:c r="A40" s="56"/>
      <x:c r="B40" s="56"/>
      <x:c r="C40" s="56"/>
      <x:c r="D40" s="56"/>
      <x:c r="E40" s="56"/>
      <x:c r="F40" s="64"/>
      <x:c r="G40" s="64"/>
      <x:c r="H40" s="56"/>
      <x:c r="I40" s="56"/>
      <x:c r="J40" s="56"/>
      <x:c r="K40" s="50"/>
      <x:c r="L40" s="50"/>
      <x:c r="M40" s="50"/>
    </x:row>
    <x:row r="41">
      <x:c r="A41" s="56"/>
      <x:c r="B41" s="56"/>
      <x:c r="C41" s="56"/>
      <x:c r="D41" s="56"/>
      <x:c r="E41" s="56"/>
      <x:c r="F41" s="64"/>
      <x:c r="G41" s="64"/>
      <x:c r="H41" s="56"/>
      <x:c r="I41" s="56"/>
      <x:c r="J41" s="56"/>
      <x:c r="K41" s="50"/>
      <x:c r="L41" s="50"/>
      <x:c r="M41" s="50"/>
    </x:row>
    <x:row r="42">
      <x:c r="A42" s="56"/>
      <x:c r="B42" s="56"/>
      <x:c r="C42" s="56"/>
      <x:c r="D42" s="56"/>
      <x:c r="E42" s="56"/>
      <x:c r="F42" s="64"/>
      <x:c r="G42" s="64"/>
      <x:c r="H42" s="56"/>
      <x:c r="I42" s="56"/>
      <x:c r="J42" s="56"/>
      <x:c r="K42" s="50"/>
      <x:c r="L42" s="50"/>
      <x:c r="M42" s="50"/>
    </x:row>
    <x:row r="43">
      <x:c r="A43" s="56"/>
      <x:c r="B43" s="56"/>
      <x:c r="C43" s="56"/>
      <x:c r="D43" s="56"/>
      <x:c r="E43" s="56"/>
      <x:c r="F43" s="64"/>
      <x:c r="G43" s="64"/>
      <x:c r="H43" s="56"/>
      <x:c r="I43" s="56"/>
      <x:c r="J43" s="56"/>
      <x:c r="K43" s="50"/>
      <x:c r="L43" s="50"/>
      <x:c r="M43" s="50"/>
    </x:row>
    <x:row r="44">
      <x:c r="A44" s="56"/>
      <x:c r="B44" s="56"/>
      <x:c r="C44" s="56"/>
      <x:c r="D44" s="56"/>
      <x:c r="E44" s="56"/>
      <x:c r="F44" s="64"/>
      <x:c r="G44" s="64"/>
      <x:c r="H44" s="56"/>
      <x:c r="I44" s="56"/>
      <x:c r="J44" s="56"/>
      <x:c r="K44" s="50"/>
      <x:c r="L44" s="50"/>
      <x:c r="M44" s="50"/>
    </x:row>
    <x:row r="45">
      <x:c r="A45" s="56"/>
      <x:c r="B45" s="56"/>
      <x:c r="C45" s="56"/>
      <x:c r="D45" s="56"/>
      <x:c r="E45" s="56"/>
      <x:c r="F45" s="64"/>
      <x:c r="G45" s="64"/>
      <x:c r="H45" s="56"/>
      <x:c r="I45" s="56"/>
      <x:c r="J45" s="56"/>
      <x:c r="K45" s="50"/>
      <x:c r="L45" s="50"/>
      <x:c r="M45" s="50"/>
    </x:row>
    <x:row r="46">
      <x:c r="A46" s="56"/>
      <x:c r="B46" s="56"/>
      <x:c r="C46" s="56"/>
      <x:c r="D46" s="56"/>
      <x:c r="E46" s="56"/>
      <x:c r="F46" s="64"/>
      <x:c r="G46" s="64"/>
      <x:c r="H46" s="56"/>
      <x:c r="I46" s="56"/>
      <x:c r="J46" s="56"/>
      <x:c r="K46" s="50"/>
      <x:c r="L46" s="50"/>
      <x:c r="M46" s="50"/>
    </x:row>
    <x:row r="47">
      <x:c r="A47" s="56"/>
      <x:c r="B47" s="56"/>
      <x:c r="C47" s="56"/>
      <x:c r="D47" s="56"/>
      <x:c r="E47" s="56"/>
      <x:c r="F47" s="64"/>
      <x:c r="G47" s="64"/>
      <x:c r="H47" s="56"/>
      <x:c r="I47" s="56"/>
      <x:c r="J47" s="56"/>
      <x:c r="K47" s="50"/>
      <x:c r="L47" s="50"/>
      <x:c r="M47" s="50"/>
    </x:row>
    <x:row r="48">
      <x:c r="A48" s="56"/>
      <x:c r="B48" s="56"/>
      <x:c r="C48" s="56"/>
      <x:c r="D48" s="56"/>
      <x:c r="E48" s="56"/>
      <x:c r="F48" s="64"/>
      <x:c r="G48" s="64"/>
      <x:c r="H48" s="56"/>
      <x:c r="I48" s="56"/>
      <x:c r="J48" s="56"/>
      <x:c r="K48" s="50"/>
      <x:c r="L48" s="50"/>
      <x:c r="M48" s="50"/>
    </x:row>
    <x:row r="49">
      <x:c r="A49" s="56"/>
      <x:c r="B49" s="56"/>
      <x:c r="C49" s="56"/>
      <x:c r="D49" s="56"/>
      <x:c r="E49" s="56"/>
      <x:c r="F49" s="64"/>
      <x:c r="G49" s="64"/>
      <x:c r="H49" s="56"/>
      <x:c r="I49" s="56"/>
      <x:c r="J49" s="56"/>
      <x:c r="K49" s="50"/>
      <x:c r="L49" s="50"/>
      <x:c r="M49" s="50"/>
    </x:row>
    <x:row r="50">
      <x:c r="A50" s="56"/>
      <x:c r="B50" s="56"/>
      <x:c r="C50" s="56"/>
      <x:c r="D50" s="56"/>
      <x:c r="E50" s="56"/>
      <x:c r="F50" s="64"/>
      <x:c r="G50" s="64"/>
      <x:c r="H50" s="56"/>
      <x:c r="I50" s="56"/>
      <x:c r="J50" s="56"/>
      <x:c r="K50" s="50"/>
      <x:c r="L50" s="50"/>
      <x:c r="M50" s="50"/>
    </x:row>
    <x:row r="51">
      <x:c r="A51" s="56"/>
      <x:c r="B51" s="56"/>
      <x:c r="C51" s="56"/>
      <x:c r="D51" s="56"/>
      <x:c r="E51" s="56"/>
      <x:c r="F51" s="64"/>
      <x:c r="G51" s="64"/>
      <x:c r="H51" s="56"/>
      <x:c r="I51" s="56"/>
      <x:c r="J51" s="56"/>
      <x:c r="K51" s="50"/>
      <x:c r="L51" s="50"/>
      <x:c r="M51" s="50"/>
    </x:row>
    <x:row r="52">
      <x:c r="A52" s="56"/>
      <x:c r="B52" s="56"/>
      <x:c r="C52" s="56"/>
      <x:c r="D52" s="56"/>
      <x:c r="E52" s="56"/>
      <x:c r="F52" s="64"/>
      <x:c r="G52" s="64"/>
      <x:c r="H52" s="56"/>
      <x:c r="I52" s="56"/>
      <x:c r="J52" s="56"/>
      <x:c r="K52" s="50"/>
      <x:c r="L52" s="50"/>
      <x:c r="M52" s="50"/>
    </x:row>
    <x:row r="53">
      <x:c r="A53" s="56"/>
      <x:c r="B53" s="56"/>
      <x:c r="C53" s="56"/>
      <x:c r="D53" s="56"/>
      <x:c r="E53" s="56"/>
      <x:c r="F53" s="64"/>
      <x:c r="G53" s="64"/>
      <x:c r="H53" s="56"/>
      <x:c r="I53" s="56"/>
      <x:c r="J53" s="56"/>
      <x:c r="K53" s="50"/>
      <x:c r="L53" s="50"/>
      <x:c r="M53" s="50"/>
    </x:row>
    <x:row r="54">
      <x:c r="A54" s="56"/>
      <x:c r="B54" s="56"/>
      <x:c r="C54" s="56"/>
      <x:c r="D54" s="56"/>
      <x:c r="E54" s="56"/>
      <x:c r="F54" s="64"/>
      <x:c r="G54" s="64"/>
      <x:c r="H54" s="56"/>
      <x:c r="I54" s="56"/>
      <x:c r="J54" s="56"/>
      <x:c r="K54" s="50"/>
      <x:c r="L54" s="50"/>
      <x:c r="M54" s="50"/>
    </x:row>
    <x:row r="55">
      <x:c r="A55" s="56"/>
      <x:c r="B55" s="56"/>
      <x:c r="C55" s="56"/>
      <x:c r="D55" s="56"/>
      <x:c r="E55" s="56"/>
      <x:c r="F55" s="64"/>
      <x:c r="G55" s="64"/>
      <x:c r="H55" s="56"/>
      <x:c r="I55" s="56"/>
      <x:c r="J55" s="56"/>
      <x:c r="K55" s="50"/>
      <x:c r="L55" s="50"/>
      <x:c r="M55" s="50"/>
    </x:row>
    <x:row r="56">
      <x:c r="A56" s="56"/>
      <x:c r="B56" s="56"/>
      <x:c r="C56" s="56"/>
      <x:c r="D56" s="56"/>
      <x:c r="E56" s="56"/>
      <x:c r="F56" s="64"/>
      <x:c r="G56" s="64"/>
      <x:c r="H56" s="56"/>
      <x:c r="I56" s="56"/>
      <x:c r="J56" s="56"/>
      <x:c r="K56" s="50"/>
      <x:c r="L56" s="50"/>
      <x:c r="M56" s="50"/>
    </x:row>
    <x:row r="57">
      <x:c r="A57" s="56"/>
      <x:c r="B57" s="56"/>
      <x:c r="C57" s="56"/>
      <x:c r="D57" s="56"/>
      <x:c r="E57" s="56"/>
      <x:c r="F57" s="64"/>
      <x:c r="G57" s="64"/>
      <x:c r="H57" s="56"/>
      <x:c r="I57" s="56"/>
      <x:c r="J57" s="56"/>
      <x:c r="K57" s="50"/>
      <x:c r="L57" s="50"/>
      <x:c r="M57" s="50"/>
    </x:row>
    <x:row r="58">
      <x:c r="A58" s="56"/>
      <x:c r="B58" s="56"/>
      <x:c r="C58" s="56"/>
      <x:c r="D58" s="56"/>
      <x:c r="E58" s="56"/>
      <x:c r="F58" s="64"/>
      <x:c r="G58" s="64"/>
      <x:c r="H58" s="56"/>
      <x:c r="I58" s="56"/>
      <x:c r="J58" s="56"/>
      <x:c r="K58" s="50"/>
      <x:c r="L58" s="50"/>
      <x:c r="M58" s="50"/>
    </x:row>
    <x:row r="59">
      <x:c r="A59" s="56"/>
      <x:c r="B59" s="56"/>
      <x:c r="C59" s="56"/>
      <x:c r="D59" s="56"/>
      <x:c r="E59" s="56"/>
      <x:c r="F59" s="64"/>
      <x:c r="G59" s="64"/>
      <x:c r="H59" s="56"/>
      <x:c r="I59" s="56"/>
      <x:c r="J59" s="56"/>
      <x:c r="K59" s="50"/>
      <x:c r="L59" s="50"/>
      <x:c r="M59" s="50"/>
    </x:row>
    <x:row r="60">
      <x:c r="A60" s="56"/>
      <x:c r="B60" s="56"/>
      <x:c r="C60" s="56"/>
      <x:c r="D60" s="56"/>
      <x:c r="E60" s="56"/>
      <x:c r="F60" s="64"/>
      <x:c r="G60" s="64"/>
      <x:c r="H60" s="56"/>
      <x:c r="I60" s="56"/>
      <x:c r="J60" s="56"/>
      <x:c r="K60" s="50"/>
      <x:c r="L60" s="50"/>
      <x:c r="M60" s="50"/>
    </x:row>
    <x:row r="61">
      <x:c r="A61" s="56"/>
      <x:c r="B61" s="56"/>
      <x:c r="C61" s="56"/>
      <x:c r="D61" s="56"/>
      <x:c r="E61" s="56"/>
      <x:c r="F61" s="64"/>
      <x:c r="G61" s="64"/>
      <x:c r="H61" s="56"/>
      <x:c r="I61" s="56"/>
      <x:c r="J61" s="56"/>
      <x:c r="K61" s="50"/>
      <x:c r="L61" s="50"/>
      <x:c r="M61" s="50"/>
    </x:row>
    <x:row r="62">
      <x:c r="A62" s="56"/>
      <x:c r="B62" s="56"/>
      <x:c r="C62" s="56"/>
      <x:c r="D62" s="56"/>
      <x:c r="E62" s="56"/>
      <x:c r="F62" s="64"/>
      <x:c r="G62" s="64"/>
      <x:c r="H62" s="56"/>
      <x:c r="I62" s="56"/>
      <x:c r="J62" s="56"/>
      <x:c r="K62" s="50"/>
      <x:c r="L62" s="50"/>
      <x:c r="M62" s="50"/>
    </x:row>
    <x:row r="63">
      <x:c r="A63" s="56"/>
      <x:c r="B63" s="56"/>
      <x:c r="C63" s="56"/>
      <x:c r="D63" s="56"/>
      <x:c r="E63" s="56"/>
      <x:c r="F63" s="64"/>
      <x:c r="G63" s="64"/>
      <x:c r="H63" s="56"/>
      <x:c r="I63" s="56"/>
      <x:c r="J63" s="56"/>
      <x:c r="K63" s="50"/>
      <x:c r="L63" s="50"/>
      <x:c r="M63" s="50"/>
    </x:row>
    <x:row r="64">
      <x:c r="A64" s="56"/>
      <x:c r="B64" s="56"/>
      <x:c r="C64" s="56"/>
      <x:c r="D64" s="56"/>
      <x:c r="E64" s="56"/>
      <x:c r="F64" s="64"/>
      <x:c r="G64" s="64"/>
      <x:c r="H64" s="56"/>
      <x:c r="I64" s="56"/>
      <x:c r="J64" s="56"/>
      <x:c r="K64" s="50"/>
      <x:c r="L64" s="50"/>
      <x:c r="M64" s="50"/>
    </x:row>
    <x:row r="65">
      <x:c r="A65" s="56"/>
      <x:c r="B65" s="56"/>
      <x:c r="C65" s="56"/>
      <x:c r="D65" s="56"/>
      <x:c r="E65" s="56"/>
      <x:c r="F65" s="64"/>
      <x:c r="G65" s="64"/>
      <x:c r="H65" s="56"/>
      <x:c r="I65" s="56"/>
      <x:c r="J65" s="56"/>
      <x:c r="K65" s="50"/>
      <x:c r="L65" s="50"/>
      <x:c r="M65" s="50"/>
    </x:row>
    <x:row r="66">
      <x:c r="A66" s="56"/>
      <x:c r="B66" s="56"/>
      <x:c r="C66" s="56"/>
      <x:c r="D66" s="56"/>
      <x:c r="E66" s="56"/>
      <x:c r="F66" s="64"/>
      <x:c r="G66" s="64"/>
      <x:c r="H66" s="56"/>
      <x:c r="I66" s="56"/>
      <x:c r="J66" s="56"/>
      <x:c r="K66" s="50"/>
      <x:c r="L66" s="50"/>
      <x:c r="M66" s="50"/>
    </x:row>
    <x:row r="67">
      <x:c r="A67" s="56"/>
      <x:c r="B67" s="56"/>
      <x:c r="C67" s="56"/>
      <x:c r="D67" s="56"/>
      <x:c r="E67" s="56"/>
      <x:c r="F67" s="64"/>
      <x:c r="G67" s="64"/>
      <x:c r="H67" s="56"/>
      <x:c r="I67" s="56"/>
      <x:c r="J67" s="56"/>
      <x:c r="K67" s="50"/>
      <x:c r="L67" s="50"/>
      <x:c r="M67" s="50"/>
    </x:row>
    <x:row r="68">
      <x:c r="A68" s="56"/>
      <x:c r="B68" s="56"/>
      <x:c r="C68" s="56"/>
      <x:c r="D68" s="56"/>
      <x:c r="E68" s="56"/>
      <x:c r="F68" s="64"/>
      <x:c r="G68" s="64"/>
      <x:c r="H68" s="56"/>
      <x:c r="I68" s="56"/>
      <x:c r="J68" s="56"/>
      <x:c r="K68" s="50"/>
      <x:c r="L68" s="50"/>
      <x:c r="M68" s="50"/>
    </x:row>
    <x:row r="69">
      <x:c r="A69" s="56"/>
      <x:c r="B69" s="56"/>
      <x:c r="C69" s="56"/>
      <x:c r="D69" s="56"/>
      <x:c r="E69" s="56"/>
      <x:c r="F69" s="64"/>
      <x:c r="G69" s="64"/>
      <x:c r="H69" s="56"/>
      <x:c r="I69" s="56"/>
      <x:c r="J69" s="56"/>
      <x:c r="K69" s="50"/>
      <x:c r="L69" s="50"/>
      <x:c r="M69" s="50"/>
    </x:row>
    <x:row r="70">
      <x:c r="A70" s="56"/>
      <x:c r="B70" s="56"/>
      <x:c r="C70" s="56"/>
      <x:c r="D70" s="56"/>
      <x:c r="E70" s="56"/>
      <x:c r="F70" s="64"/>
      <x:c r="G70" s="64"/>
      <x:c r="H70" s="56"/>
      <x:c r="I70" s="56"/>
      <x:c r="J70" s="56"/>
      <x:c r="K70" s="50"/>
      <x:c r="L70" s="50"/>
      <x:c r="M70" s="50"/>
    </x:row>
    <x:row r="71">
      <x:c r="A71" s="56"/>
      <x:c r="B71" s="56"/>
      <x:c r="C71" s="56"/>
      <x:c r="D71" s="56"/>
      <x:c r="E71" s="56"/>
      <x:c r="F71" s="64"/>
      <x:c r="G71" s="64"/>
      <x:c r="H71" s="56"/>
      <x:c r="I71" s="56"/>
      <x:c r="J71" s="56"/>
      <x:c r="K71" s="50"/>
      <x:c r="L71" s="50"/>
      <x:c r="M71" s="50"/>
    </x:row>
    <x:row r="72">
      <x:c r="A72" s="56"/>
      <x:c r="B72" s="56"/>
      <x:c r="C72" s="56"/>
      <x:c r="D72" s="56"/>
      <x:c r="E72" s="56"/>
      <x:c r="F72" s="64"/>
      <x:c r="G72" s="64"/>
      <x:c r="H72" s="56"/>
      <x:c r="I72" s="56"/>
      <x:c r="J72" s="56"/>
      <x:c r="K72" s="50"/>
      <x:c r="L72" s="50"/>
      <x:c r="M72" s="50"/>
    </x:row>
    <x:row r="73">
      <x:c r="A73" s="56"/>
      <x:c r="B73" s="56"/>
      <x:c r="C73" s="56"/>
      <x:c r="D73" s="56"/>
      <x:c r="E73" s="56"/>
      <x:c r="F73" s="64"/>
      <x:c r="G73" s="64"/>
      <x:c r="H73" s="56"/>
      <x:c r="I73" s="56"/>
      <x:c r="J73" s="56"/>
      <x:c r="K73" s="50"/>
      <x:c r="L73" s="50"/>
      <x:c r="M73" s="50"/>
    </x:row>
    <x:row r="74">
      <x:c r="A74" s="56"/>
      <x:c r="B74" s="56"/>
      <x:c r="C74" s="56"/>
      <x:c r="D74" s="56"/>
      <x:c r="E74" s="56"/>
      <x:c r="F74" s="64"/>
      <x:c r="G74" s="64"/>
      <x:c r="H74" s="56"/>
      <x:c r="I74" s="56"/>
      <x:c r="J74" s="56"/>
      <x:c r="K74" s="50"/>
      <x:c r="L74" s="50"/>
      <x:c r="M74" s="50"/>
    </x:row>
    <x:row r="75">
      <x:c r="A75" s="56"/>
      <x:c r="B75" s="56"/>
      <x:c r="C75" s="56"/>
      <x:c r="D75" s="56"/>
      <x:c r="E75" s="56"/>
      <x:c r="F75" s="64"/>
      <x:c r="G75" s="64"/>
      <x:c r="H75" s="56"/>
      <x:c r="I75" s="56"/>
      <x:c r="J75" s="56"/>
      <x:c r="K75" s="50"/>
      <x:c r="L75" s="50"/>
      <x:c r="M75" s="50"/>
    </x:row>
    <x:row r="76">
      <x:c r="A76" s="56"/>
      <x:c r="B76" s="56"/>
      <x:c r="C76" s="56"/>
      <x:c r="D76" s="56"/>
      <x:c r="E76" s="56"/>
      <x:c r="F76" s="64"/>
      <x:c r="G76" s="64"/>
      <x:c r="H76" s="56"/>
      <x:c r="I76" s="56"/>
      <x:c r="J76" s="56"/>
      <x:c r="K76" s="50"/>
      <x:c r="L76" s="50"/>
      <x:c r="M76" s="50"/>
    </x:row>
    <x:row r="77">
      <x:c r="A77" s="56"/>
      <x:c r="B77" s="56"/>
      <x:c r="C77" s="56"/>
      <x:c r="D77" s="56"/>
      <x:c r="E77" s="56"/>
      <x:c r="F77" s="64"/>
      <x:c r="G77" s="64"/>
      <x:c r="H77" s="56"/>
      <x:c r="I77" s="56"/>
      <x:c r="J77" s="56"/>
      <x:c r="K77" s="50"/>
      <x:c r="L77" s="50"/>
      <x:c r="M77" s="50"/>
    </x:row>
    <x:row r="78">
      <x:c r="A78" s="56"/>
      <x:c r="B78" s="56"/>
      <x:c r="C78" s="56"/>
      <x:c r="D78" s="56"/>
      <x:c r="E78" s="56"/>
      <x:c r="F78" s="64"/>
      <x:c r="G78" s="64"/>
      <x:c r="H78" s="56"/>
      <x:c r="I78" s="56"/>
      <x:c r="J78" s="56"/>
      <x:c r="K78" s="50"/>
      <x:c r="L78" s="50"/>
      <x:c r="M78" s="50"/>
    </x:row>
    <x:row r="79">
      <x:c r="A79" s="56"/>
      <x:c r="B79" s="56"/>
      <x:c r="C79" s="56"/>
      <x:c r="D79" s="56"/>
      <x:c r="E79" s="56"/>
      <x:c r="F79" s="64"/>
      <x:c r="G79" s="64"/>
      <x:c r="H79" s="56"/>
      <x:c r="I79" s="56"/>
      <x:c r="J79" s="56"/>
      <x:c r="K79" s="50"/>
      <x:c r="L79" s="50"/>
      <x:c r="M79" s="50"/>
    </x:row>
    <x:row r="80">
      <x:c r="A80" s="56"/>
      <x:c r="B80" s="56"/>
      <x:c r="C80" s="56"/>
      <x:c r="D80" s="56"/>
      <x:c r="E80" s="56"/>
      <x:c r="F80" s="64"/>
      <x:c r="G80" s="64"/>
      <x:c r="H80" s="56"/>
      <x:c r="I80" s="56"/>
      <x:c r="J80" s="56"/>
      <x:c r="K80" s="50"/>
      <x:c r="L80" s="50"/>
      <x:c r="M80" s="50"/>
    </x:row>
    <x:row r="81">
      <x:c r="A81" s="56"/>
      <x:c r="B81" s="56"/>
      <x:c r="C81" s="56"/>
      <x:c r="D81" s="56"/>
      <x:c r="E81" s="56"/>
      <x:c r="F81" s="64"/>
      <x:c r="G81" s="64"/>
      <x:c r="H81" s="56"/>
      <x:c r="I81" s="56"/>
      <x:c r="J81" s="56"/>
      <x:c r="K81" s="50"/>
      <x:c r="L81" s="50"/>
      <x:c r="M81" s="50"/>
    </x:row>
    <x:row r="82">
      <x:c r="A82" s="56"/>
      <x:c r="B82" s="56"/>
      <x:c r="C82" s="56"/>
      <x:c r="D82" s="56"/>
      <x:c r="E82" s="56"/>
      <x:c r="F82" s="64"/>
      <x:c r="G82" s="64"/>
      <x:c r="H82" s="56"/>
      <x:c r="I82" s="56"/>
      <x:c r="J82" s="56"/>
      <x:c r="K82" s="50"/>
      <x:c r="L82" s="50"/>
      <x:c r="M82" s="50"/>
    </x:row>
    <x:row r="83">
      <x:c r="A83" s="56"/>
      <x:c r="B83" s="56"/>
      <x:c r="C83" s="56"/>
      <x:c r="D83" s="56"/>
      <x:c r="E83" s="56"/>
      <x:c r="F83" s="64"/>
      <x:c r="G83" s="64"/>
      <x:c r="H83" s="56"/>
      <x:c r="I83" s="56"/>
      <x:c r="J83" s="56"/>
      <x:c r="K83" s="50"/>
      <x:c r="L83" s="50"/>
      <x:c r="M83" s="50"/>
    </x:row>
    <x:row r="84">
      <x:c r="A84" s="56"/>
      <x:c r="B84" s="56"/>
      <x:c r="C84" s="56"/>
      <x:c r="D84" s="56"/>
      <x:c r="E84" s="56"/>
      <x:c r="F84" s="64"/>
      <x:c r="G84" s="64"/>
      <x:c r="H84" s="56"/>
      <x:c r="I84" s="56"/>
      <x:c r="J84" s="56"/>
      <x:c r="K84" s="50"/>
      <x:c r="L84" s="50"/>
      <x:c r="M84" s="50"/>
    </x:row>
    <x:row r="85">
      <x:c r="A85" s="56"/>
      <x:c r="B85" s="56"/>
      <x:c r="C85" s="56"/>
      <x:c r="D85" s="56"/>
      <x:c r="E85" s="56"/>
      <x:c r="F85" s="64"/>
      <x:c r="G85" s="64"/>
      <x:c r="H85" s="56"/>
      <x:c r="I85" s="56"/>
      <x:c r="J85" s="56"/>
      <x:c r="K85" s="50"/>
      <x:c r="L85" s="50"/>
      <x:c r="M85" s="50"/>
    </x:row>
    <x:row r="86">
      <x:c r="A86" s="56"/>
      <x:c r="B86" s="56"/>
      <x:c r="C86" s="56"/>
      <x:c r="D86" s="56"/>
      <x:c r="E86" s="56"/>
      <x:c r="F86" s="64"/>
      <x:c r="G86" s="64"/>
      <x:c r="H86" s="56"/>
      <x:c r="I86" s="56"/>
      <x:c r="J86" s="56"/>
      <x:c r="K86" s="50"/>
      <x:c r="L86" s="50"/>
      <x:c r="M86" s="50"/>
    </x:row>
    <x:row r="87">
      <x:c r="A87" s="56"/>
      <x:c r="B87" s="56"/>
      <x:c r="C87" s="56"/>
      <x:c r="D87" s="56"/>
      <x:c r="E87" s="56"/>
      <x:c r="F87" s="64"/>
      <x:c r="G87" s="64"/>
      <x:c r="H87" s="56"/>
      <x:c r="I87" s="56"/>
      <x:c r="J87" s="56"/>
      <x:c r="K87" s="50"/>
      <x:c r="L87" s="50"/>
      <x:c r="M87" s="50"/>
    </x:row>
    <x:row r="88">
      <x:c r="A88" s="56"/>
      <x:c r="B88" s="56"/>
      <x:c r="C88" s="56"/>
      <x:c r="D88" s="56"/>
      <x:c r="E88" s="56"/>
      <x:c r="F88" s="64"/>
      <x:c r="G88" s="64"/>
      <x:c r="H88" s="56"/>
      <x:c r="I88" s="56"/>
      <x:c r="J88" s="56"/>
      <x:c r="K88" s="50"/>
      <x:c r="L88" s="50"/>
      <x:c r="M88" s="50"/>
    </x:row>
    <x:row r="89">
      <x:c r="A89" s="56"/>
      <x:c r="B89" s="56"/>
      <x:c r="C89" s="56"/>
      <x:c r="D89" s="56"/>
      <x:c r="E89" s="56"/>
      <x:c r="F89" s="64"/>
      <x:c r="G89" s="64"/>
      <x:c r="H89" s="56"/>
      <x:c r="I89" s="56"/>
      <x:c r="J89" s="56"/>
      <x:c r="K89" s="50"/>
      <x:c r="L89" s="50"/>
      <x:c r="M89" s="50"/>
    </x:row>
    <x:row r="90">
      <x:c r="A90" s="56"/>
      <x:c r="B90" s="56"/>
      <x:c r="C90" s="56"/>
      <x:c r="D90" s="56"/>
      <x:c r="E90" s="56"/>
      <x:c r="F90" s="64"/>
      <x:c r="G90" s="64"/>
      <x:c r="H90" s="56"/>
      <x:c r="I90" s="56"/>
      <x:c r="J90" s="56"/>
      <x:c r="K90" s="50"/>
      <x:c r="L90" s="50"/>
      <x:c r="M90" s="50"/>
    </x:row>
    <x:row r="91">
      <x:c r="A91" s="56"/>
      <x:c r="B91" s="56"/>
      <x:c r="C91" s="56"/>
      <x:c r="D91" s="56"/>
      <x:c r="E91" s="56"/>
      <x:c r="F91" s="64"/>
      <x:c r="G91" s="64"/>
      <x:c r="H91" s="56"/>
      <x:c r="I91" s="56"/>
      <x:c r="J91" s="56"/>
      <x:c r="K91" s="50"/>
      <x:c r="L91" s="50"/>
      <x:c r="M91" s="50"/>
    </x:row>
    <x:row r="92">
      <x:c r="A92" s="56"/>
      <x:c r="B92" s="56"/>
      <x:c r="C92" s="56"/>
      <x:c r="D92" s="56"/>
      <x:c r="E92" s="56"/>
      <x:c r="F92" s="64"/>
      <x:c r="G92" s="64"/>
      <x:c r="H92" s="56"/>
      <x:c r="I92" s="56"/>
      <x:c r="J92" s="56"/>
      <x:c r="K92" s="50"/>
      <x:c r="L92" s="50"/>
      <x:c r="M92" s="50"/>
    </x:row>
    <x:row r="93">
      <x:c r="A93" s="56"/>
      <x:c r="B93" s="56"/>
      <x:c r="C93" s="56"/>
      <x:c r="D93" s="56"/>
      <x:c r="E93" s="56"/>
      <x:c r="F93" s="64"/>
      <x:c r="G93" s="64"/>
      <x:c r="H93" s="56"/>
      <x:c r="I93" s="56"/>
      <x:c r="J93" s="56"/>
      <x:c r="K93" s="50"/>
      <x:c r="L93" s="50"/>
      <x:c r="M93" s="50"/>
    </x:row>
    <x:row r="94">
      <x:c r="A94" s="56"/>
      <x:c r="B94" s="56"/>
      <x:c r="C94" s="56"/>
      <x:c r="D94" s="56"/>
      <x:c r="E94" s="56"/>
      <x:c r="F94" s="64"/>
      <x:c r="G94" s="64"/>
      <x:c r="H94" s="56"/>
      <x:c r="I94" s="56"/>
      <x:c r="J94" s="56"/>
      <x:c r="K94" s="50"/>
      <x:c r="L94" s="50"/>
      <x:c r="M94" s="50"/>
    </x:row>
    <x:row r="95">
      <x:c r="A95" s="56"/>
      <x:c r="B95" s="56"/>
      <x:c r="C95" s="56"/>
      <x:c r="D95" s="56"/>
      <x:c r="E95" s="56"/>
      <x:c r="F95" s="64"/>
      <x:c r="G95" s="64"/>
      <x:c r="H95" s="56"/>
      <x:c r="I95" s="56"/>
      <x:c r="J95" s="56"/>
      <x:c r="K95" s="50"/>
      <x:c r="L95" s="50"/>
      <x:c r="M95" s="50"/>
    </x:row>
    <x:row r="96">
      <x:c r="A96" s="56"/>
      <x:c r="B96" s="56"/>
      <x:c r="C96" s="56"/>
      <x:c r="D96" s="56"/>
      <x:c r="E96" s="56"/>
      <x:c r="F96" s="64"/>
      <x:c r="G96" s="64"/>
      <x:c r="H96" s="56"/>
      <x:c r="I96" s="56"/>
      <x:c r="J96" s="56"/>
      <x:c r="K96" s="50"/>
      <x:c r="L96" s="50"/>
      <x:c r="M96" s="50"/>
    </x:row>
    <x:row r="97">
      <x:c r="A97" s="56"/>
      <x:c r="B97" s="56"/>
      <x:c r="C97" s="56"/>
      <x:c r="D97" s="56"/>
      <x:c r="E97" s="56"/>
      <x:c r="F97" s="64"/>
      <x:c r="G97" s="64"/>
      <x:c r="H97" s="56"/>
      <x:c r="I97" s="56"/>
      <x:c r="J97" s="56"/>
      <x:c r="K97" s="50"/>
      <x:c r="L97" s="50"/>
      <x:c r="M97" s="50"/>
    </x:row>
    <x:row r="98">
      <x:c r="A98" s="56"/>
      <x:c r="B98" s="56"/>
      <x:c r="C98" s="56"/>
      <x:c r="D98" s="56"/>
      <x:c r="E98" s="56"/>
      <x:c r="F98" s="64"/>
      <x:c r="G98" s="64"/>
      <x:c r="H98" s="56"/>
      <x:c r="I98" s="56"/>
      <x:c r="J98" s="56"/>
      <x:c r="K98" s="50"/>
      <x:c r="L98" s="50"/>
      <x:c r="M98" s="50"/>
    </x:row>
    <x:row r="99">
      <x:c r="A99" s="56"/>
      <x:c r="B99" s="56"/>
      <x:c r="C99" s="56"/>
      <x:c r="D99" s="56"/>
      <x:c r="E99" s="56"/>
      <x:c r="F99" s="64"/>
      <x:c r="G99" s="64"/>
      <x:c r="H99" s="56"/>
      <x:c r="I99" s="56"/>
      <x:c r="J99" s="56"/>
      <x:c r="K99" s="50"/>
      <x:c r="L99" s="50"/>
      <x:c r="M99" s="50"/>
    </x:row>
    <x:row r="100">
      <x:c r="A100" s="56"/>
      <x:c r="B100" s="56"/>
      <x:c r="C100" s="56"/>
      <x:c r="D100" s="56"/>
      <x:c r="E100" s="56"/>
      <x:c r="F100" s="64"/>
      <x:c r="G100" s="64"/>
      <x:c r="H100" s="56"/>
      <x:c r="I100" s="56"/>
      <x:c r="J100" s="56"/>
      <x:c r="K100" s="50"/>
      <x:c r="L100" s="50"/>
      <x:c r="M100" s="50"/>
    </x:row>
    <x:row r="101">
      <x:c r="A101" s="56"/>
      <x:c r="B101" s="56"/>
      <x:c r="C101" s="56"/>
      <x:c r="D101" s="56"/>
      <x:c r="E101" s="56"/>
      <x:c r="F101" s="64"/>
      <x:c r="G101" s="64"/>
      <x:c r="H101" s="56"/>
      <x:c r="I101" s="56"/>
      <x:c r="J101" s="56"/>
      <x:c r="K101" s="50"/>
      <x:c r="L101" s="50"/>
      <x:c r="M101" s="50"/>
    </x:row>
    <x:row r="102">
      <x:c r="A102" s="56"/>
      <x:c r="B102" s="56"/>
      <x:c r="C102" s="56"/>
      <x:c r="D102" s="56"/>
      <x:c r="E102" s="56"/>
      <x:c r="F102" s="64"/>
      <x:c r="G102" s="64"/>
      <x:c r="H102" s="56"/>
      <x:c r="I102" s="56"/>
      <x:c r="J102" s="56"/>
      <x:c r="K102" s="50"/>
      <x:c r="L102" s="50"/>
      <x:c r="M102" s="50"/>
    </x:row>
    <x:row r="103">
      <x:c r="A103" s="56"/>
      <x:c r="B103" s="56"/>
      <x:c r="C103" s="56"/>
      <x:c r="D103" s="56"/>
      <x:c r="E103" s="56"/>
      <x:c r="F103" s="64"/>
      <x:c r="G103" s="64"/>
      <x:c r="H103" s="56"/>
      <x:c r="I103" s="56"/>
      <x:c r="J103" s="56"/>
      <x:c r="K103" s="50"/>
      <x:c r="L103" s="50"/>
      <x:c r="M103" s="50"/>
    </x:row>
    <x:row r="104">
      <x:c r="A104" s="56"/>
      <x:c r="B104" s="56"/>
      <x:c r="C104" s="56"/>
      <x:c r="D104" s="56"/>
      <x:c r="E104" s="56"/>
      <x:c r="F104" s="64"/>
      <x:c r="G104" s="64"/>
      <x:c r="H104" s="56"/>
      <x:c r="I104" s="56"/>
      <x:c r="J104" s="56"/>
      <x:c r="K104" s="50"/>
      <x:c r="L104" s="50"/>
      <x:c r="M104" s="50"/>
    </x:row>
    <x:row r="105">
      <x:c r="A105" s="56"/>
      <x:c r="B105" s="56"/>
      <x:c r="C105" s="56"/>
      <x:c r="D105" s="56"/>
      <x:c r="E105" s="56"/>
      <x:c r="F105" s="64"/>
      <x:c r="G105" s="64"/>
      <x:c r="H105" s="56"/>
      <x:c r="I105" s="56"/>
      <x:c r="J105" s="56"/>
      <x:c r="K105" s="50"/>
      <x:c r="L105" s="50"/>
      <x:c r="M105" s="50"/>
    </x:row>
    <x:row r="106">
      <x:c r="A106" s="56"/>
      <x:c r="B106" s="56"/>
      <x:c r="C106" s="56"/>
      <x:c r="D106" s="56"/>
      <x:c r="E106" s="56"/>
      <x:c r="F106" s="64"/>
      <x:c r="G106" s="64"/>
      <x:c r="H106" s="56"/>
      <x:c r="I106" s="56"/>
      <x:c r="J106" s="56"/>
      <x:c r="K106" s="50"/>
      <x:c r="L106" s="50"/>
      <x:c r="M106" s="50"/>
    </x:row>
    <x:row r="107">
      <x:c r="A107" s="56"/>
      <x:c r="B107" s="56"/>
      <x:c r="C107" s="56"/>
      <x:c r="D107" s="56"/>
      <x:c r="E107" s="56"/>
      <x:c r="F107" s="64"/>
      <x:c r="G107" s="64"/>
      <x:c r="H107" s="56"/>
      <x:c r="I107" s="56"/>
      <x:c r="J107" s="56"/>
      <x:c r="K107" s="50"/>
      <x:c r="L107" s="50"/>
      <x:c r="M107" s="50"/>
    </x:row>
    <x:row r="108">
      <x:c r="A108" s="56"/>
      <x:c r="B108" s="56"/>
      <x:c r="C108" s="56"/>
      <x:c r="D108" s="56"/>
      <x:c r="E108" s="56"/>
      <x:c r="F108" s="64"/>
      <x:c r="G108" s="64"/>
      <x:c r="H108" s="56"/>
      <x:c r="I108" s="56"/>
      <x:c r="J108" s="56"/>
      <x:c r="K108" s="50"/>
      <x:c r="L108" s="50"/>
      <x:c r="M108" s="50"/>
    </x:row>
    <x:row r="109">
      <x:c r="A109" s="56"/>
      <x:c r="B109" s="56"/>
      <x:c r="C109" s="56"/>
      <x:c r="D109" s="56"/>
      <x:c r="E109" s="56"/>
      <x:c r="F109" s="64"/>
      <x:c r="G109" s="64"/>
      <x:c r="H109" s="56"/>
      <x:c r="I109" s="56"/>
      <x:c r="J109" s="56"/>
      <x:c r="K109" s="50"/>
      <x:c r="L109" s="50"/>
      <x:c r="M109" s="50"/>
    </x:row>
    <x:row r="110">
      <x:c r="A110" s="56"/>
      <x:c r="B110" s="56"/>
      <x:c r="C110" s="56"/>
      <x:c r="D110" s="56"/>
      <x:c r="E110" s="56"/>
      <x:c r="F110" s="64"/>
      <x:c r="G110" s="64"/>
      <x:c r="H110" s="56"/>
      <x:c r="I110" s="56"/>
      <x:c r="J110" s="56"/>
      <x:c r="K110" s="50"/>
      <x:c r="L110" s="50"/>
      <x:c r="M110" s="50"/>
    </x:row>
    <x:row r="111">
      <x:c r="A111" s="56"/>
      <x:c r="B111" s="56"/>
      <x:c r="C111" s="56"/>
      <x:c r="D111" s="56"/>
      <x:c r="E111" s="56"/>
      <x:c r="F111" s="64"/>
      <x:c r="G111" s="64"/>
      <x:c r="H111" s="56"/>
      <x:c r="I111" s="56"/>
      <x:c r="J111" s="56"/>
      <x:c r="K111" s="50"/>
      <x:c r="L111" s="50"/>
      <x:c r="M111" s="50"/>
    </x:row>
    <x:row r="112">
      <x:c r="A112" s="56"/>
      <x:c r="B112" s="56"/>
      <x:c r="C112" s="56"/>
      <x:c r="D112" s="56"/>
      <x:c r="E112" s="56"/>
      <x:c r="F112" s="64"/>
      <x:c r="G112" s="64"/>
      <x:c r="H112" s="56"/>
      <x:c r="I112" s="56"/>
      <x:c r="J112" s="56"/>
      <x:c r="K112" s="50"/>
      <x:c r="L112" s="50"/>
      <x:c r="M112" s="50"/>
    </x:row>
    <x:row r="113">
      <x:c r="A113" s="56"/>
      <x:c r="B113" s="56"/>
      <x:c r="C113" s="56"/>
      <x:c r="D113" s="56"/>
      <x:c r="E113" s="56"/>
      <x:c r="F113" s="64"/>
      <x:c r="G113" s="64"/>
      <x:c r="H113" s="56"/>
      <x:c r="I113" s="56"/>
      <x:c r="J113" s="56"/>
      <x:c r="K113" s="50"/>
      <x:c r="L113" s="50"/>
      <x:c r="M113" s="50"/>
    </x:row>
    <x:row r="114">
      <x:c r="A114" s="56"/>
      <x:c r="B114" s="56"/>
      <x:c r="C114" s="56"/>
      <x:c r="D114" s="56"/>
      <x:c r="E114" s="56"/>
      <x:c r="F114" s="64"/>
      <x:c r="G114" s="64"/>
      <x:c r="H114" s="56"/>
      <x:c r="I114" s="56"/>
      <x:c r="J114" s="56"/>
      <x:c r="K114" s="50"/>
      <x:c r="L114" s="50"/>
      <x:c r="M114" s="50"/>
    </x:row>
    <x:row r="115">
      <x:c r="A115" s="56"/>
      <x:c r="B115" s="56"/>
      <x:c r="C115" s="56"/>
      <x:c r="D115" s="56"/>
      <x:c r="E115" s="56"/>
      <x:c r="F115" s="64"/>
      <x:c r="G115" s="64"/>
      <x:c r="H115" s="56"/>
      <x:c r="I115" s="56"/>
      <x:c r="J115" s="56"/>
      <x:c r="K115" s="50"/>
      <x:c r="L115" s="50"/>
      <x:c r="M115" s="50"/>
    </x:row>
    <x:row r="116">
      <x:c r="A116" s="56"/>
      <x:c r="B116" s="56"/>
      <x:c r="C116" s="56"/>
      <x:c r="D116" s="56"/>
      <x:c r="E116" s="56"/>
      <x:c r="F116" s="64"/>
      <x:c r="G116" s="64"/>
      <x:c r="H116" s="56"/>
      <x:c r="I116" s="56"/>
      <x:c r="J116" s="56"/>
      <x:c r="K116" s="50"/>
      <x:c r="L116" s="50"/>
      <x:c r="M116" s="50"/>
    </x:row>
    <x:row r="117">
      <x:c r="A117" s="56"/>
      <x:c r="B117" s="56"/>
      <x:c r="C117" s="56"/>
      <x:c r="D117" s="56"/>
      <x:c r="E117" s="56"/>
      <x:c r="F117" s="64"/>
      <x:c r="G117" s="64"/>
      <x:c r="H117" s="56"/>
      <x:c r="I117" s="56"/>
      <x:c r="J117" s="56"/>
      <x:c r="K117" s="50"/>
      <x:c r="L117" s="50"/>
      <x:c r="M117" s="50"/>
    </x:row>
    <x:row r="118">
      <x:c r="A118" s="56"/>
      <x:c r="B118" s="56"/>
      <x:c r="C118" s="56"/>
      <x:c r="D118" s="56"/>
      <x:c r="E118" s="56"/>
      <x:c r="F118" s="64"/>
      <x:c r="G118" s="64"/>
      <x:c r="H118" s="56"/>
      <x:c r="I118" s="56"/>
      <x:c r="J118" s="56"/>
      <x:c r="K118" s="50"/>
      <x:c r="L118" s="50"/>
      <x:c r="M118" s="50"/>
    </x:row>
    <x:row r="119">
      <x:c r="A119" s="56"/>
      <x:c r="B119" s="56"/>
      <x:c r="C119" s="56"/>
      <x:c r="D119" s="56"/>
      <x:c r="E119" s="56"/>
      <x:c r="F119" s="64"/>
      <x:c r="G119" s="64"/>
      <x:c r="H119" s="56"/>
      <x:c r="I119" s="56"/>
      <x:c r="J119" s="56"/>
      <x:c r="K119" s="50"/>
      <x:c r="L119" s="50"/>
      <x:c r="M119" s="50"/>
    </x:row>
    <x:row r="120">
      <x:c r="A120" s="56"/>
      <x:c r="B120" s="56"/>
      <x:c r="C120" s="56"/>
      <x:c r="D120" s="56"/>
      <x:c r="E120" s="56"/>
      <x:c r="F120" s="64"/>
      <x:c r="G120" s="64"/>
      <x:c r="H120" s="56"/>
      <x:c r="I120" s="56"/>
      <x:c r="J120" s="56"/>
      <x:c r="K120" s="50"/>
      <x:c r="L120" s="50"/>
      <x:c r="M120" s="50"/>
    </x:row>
    <x:row r="121">
      <x:c r="A121" s="56"/>
      <x:c r="B121" s="56"/>
      <x:c r="C121" s="56"/>
      <x:c r="D121" s="56"/>
      <x:c r="E121" s="56"/>
      <x:c r="F121" s="64"/>
      <x:c r="G121" s="64"/>
      <x:c r="H121" s="56"/>
      <x:c r="I121" s="56"/>
      <x:c r="J121" s="56"/>
      <x:c r="K121" s="50"/>
      <x:c r="L121" s="50"/>
      <x:c r="M121" s="50"/>
    </x:row>
    <x:row r="122">
      <x:c r="A122" s="56"/>
      <x:c r="B122" s="56"/>
      <x:c r="C122" s="56"/>
      <x:c r="D122" s="56"/>
      <x:c r="E122" s="56"/>
      <x:c r="F122" s="64"/>
      <x:c r="G122" s="64"/>
      <x:c r="H122" s="56"/>
      <x:c r="I122" s="56"/>
      <x:c r="J122" s="56"/>
      <x:c r="K122" s="50"/>
      <x:c r="L122" s="50"/>
      <x:c r="M122" s="50"/>
    </x:row>
    <x:row r="123">
      <x:c r="A123" s="56"/>
      <x:c r="B123" s="56"/>
      <x:c r="C123" s="56"/>
      <x:c r="D123" s="56"/>
      <x:c r="E123" s="56"/>
      <x:c r="F123" s="64"/>
      <x:c r="G123" s="64"/>
      <x:c r="H123" s="56"/>
      <x:c r="I123" s="56"/>
      <x:c r="J123" s="56"/>
      <x:c r="K123" s="50"/>
      <x:c r="L123" s="50"/>
      <x:c r="M123" s="50"/>
    </x:row>
    <x:row r="124">
      <x:c r="A124" s="56"/>
      <x:c r="B124" s="56"/>
      <x:c r="C124" s="56"/>
      <x:c r="D124" s="56"/>
      <x:c r="E124" s="56"/>
      <x:c r="F124" s="64"/>
      <x:c r="G124" s="64"/>
      <x:c r="H124" s="56"/>
      <x:c r="I124" s="56"/>
      <x:c r="J124" s="56"/>
      <x:c r="K124" s="50"/>
      <x:c r="L124" s="50"/>
      <x:c r="M124" s="50"/>
    </x:row>
    <x:row r="125">
      <x:c r="A125" s="56"/>
      <x:c r="B125" s="56"/>
      <x:c r="C125" s="56"/>
      <x:c r="D125" s="56"/>
      <x:c r="E125" s="56"/>
      <x:c r="F125" s="64"/>
      <x:c r="G125" s="64"/>
      <x:c r="H125" s="56"/>
      <x:c r="I125" s="56"/>
      <x:c r="J125" s="56"/>
      <x:c r="K125" s="50"/>
      <x:c r="L125" s="50"/>
      <x:c r="M125" s="50"/>
    </x:row>
    <x:row r="126">
      <x:c r="A126" s="56"/>
      <x:c r="B126" s="56"/>
      <x:c r="C126" s="56"/>
      <x:c r="D126" s="56"/>
      <x:c r="E126" s="56"/>
      <x:c r="F126" s="64"/>
      <x:c r="G126" s="64"/>
      <x:c r="H126" s="56"/>
      <x:c r="I126" s="56"/>
      <x:c r="J126" s="56"/>
      <x:c r="K126" s="50"/>
      <x:c r="L126" s="50"/>
      <x:c r="M126" s="50"/>
    </x:row>
    <x:row r="127">
      <x:c r="A127" s="56"/>
      <x:c r="B127" s="56"/>
      <x:c r="C127" s="56"/>
      <x:c r="D127" s="56"/>
      <x:c r="E127" s="56"/>
      <x:c r="F127" s="64"/>
      <x:c r="G127" s="64"/>
      <x:c r="H127" s="56"/>
      <x:c r="I127" s="56"/>
      <x:c r="J127" s="56"/>
      <x:c r="K127" s="50"/>
      <x:c r="L127" s="50"/>
      <x:c r="M127" s="50"/>
    </x:row>
    <x:row r="128">
      <x:c r="A128" s="56"/>
      <x:c r="B128" s="56"/>
      <x:c r="C128" s="56"/>
      <x:c r="D128" s="56"/>
      <x:c r="E128" s="56"/>
      <x:c r="F128" s="64"/>
      <x:c r="G128" s="64"/>
      <x:c r="H128" s="56"/>
      <x:c r="I128" s="56"/>
      <x:c r="J128" s="56"/>
      <x:c r="K128" s="50"/>
      <x:c r="L128" s="50"/>
      <x:c r="M128" s="50"/>
    </x:row>
    <x:row r="129">
      <x:c r="A129" s="56"/>
      <x:c r="B129" s="56"/>
      <x:c r="C129" s="56"/>
      <x:c r="D129" s="56"/>
      <x:c r="E129" s="56"/>
      <x:c r="F129" s="64"/>
      <x:c r="G129" s="64"/>
      <x:c r="H129" s="56"/>
      <x:c r="I129" s="56"/>
      <x:c r="J129" s="56"/>
      <x:c r="K129" s="50"/>
      <x:c r="L129" s="50"/>
      <x:c r="M129" s="50"/>
    </x:row>
    <x:row r="130">
      <x:c r="A130" s="56"/>
      <x:c r="B130" s="56"/>
      <x:c r="C130" s="56"/>
      <x:c r="D130" s="56"/>
      <x:c r="E130" s="56"/>
      <x:c r="F130" s="64"/>
      <x:c r="G130" s="64"/>
      <x:c r="H130" s="56"/>
      <x:c r="I130" s="56"/>
      <x:c r="J130" s="56"/>
      <x:c r="K130" s="50"/>
      <x:c r="L130" s="50"/>
      <x:c r="M130" s="50"/>
    </x:row>
    <x:row r="131">
      <x:c r="A131" s="56"/>
      <x:c r="B131" s="56"/>
      <x:c r="C131" s="56"/>
      <x:c r="D131" s="56"/>
      <x:c r="E131" s="56"/>
      <x:c r="F131" s="64"/>
      <x:c r="G131" s="64"/>
      <x:c r="H131" s="56"/>
      <x:c r="I131" s="56"/>
      <x:c r="J131" s="56"/>
      <x:c r="K131" s="50"/>
      <x:c r="L131" s="50"/>
      <x:c r="M131" s="50"/>
    </x:row>
    <x:row r="132">
      <x:c r="A132" s="56"/>
      <x:c r="B132" s="56"/>
      <x:c r="C132" s="56"/>
      <x:c r="D132" s="56"/>
      <x:c r="E132" s="56"/>
      <x:c r="F132" s="64"/>
      <x:c r="G132" s="64"/>
      <x:c r="H132" s="56"/>
      <x:c r="I132" s="56"/>
      <x:c r="J132" s="56"/>
      <x:c r="K132" s="50"/>
      <x:c r="L132" s="50"/>
      <x:c r="M132" s="50"/>
    </x:row>
    <x:row r="133">
      <x:c r="A133" s="56"/>
      <x:c r="B133" s="56"/>
      <x:c r="C133" s="56"/>
      <x:c r="D133" s="56"/>
      <x:c r="E133" s="56"/>
      <x:c r="F133" s="64"/>
      <x:c r="G133" s="64"/>
      <x:c r="H133" s="56"/>
      <x:c r="I133" s="56"/>
      <x:c r="J133" s="56"/>
      <x:c r="K133" s="50"/>
      <x:c r="L133" s="50"/>
      <x:c r="M133" s="50"/>
    </x:row>
    <x:row r="134">
      <x:c r="A134" s="56"/>
      <x:c r="B134" s="56"/>
      <x:c r="C134" s="56"/>
      <x:c r="D134" s="56"/>
      <x:c r="E134" s="56"/>
      <x:c r="F134" s="64"/>
      <x:c r="G134" s="64"/>
      <x:c r="H134" s="56"/>
      <x:c r="I134" s="56"/>
      <x:c r="J134" s="56"/>
      <x:c r="K134" s="50"/>
      <x:c r="L134" s="50"/>
      <x:c r="M134" s="50"/>
    </x:row>
    <x:row r="135">
      <x:c r="A135" s="56"/>
      <x:c r="B135" s="56"/>
      <x:c r="C135" s="56"/>
      <x:c r="D135" s="56"/>
      <x:c r="E135" s="56"/>
      <x:c r="F135" s="64"/>
      <x:c r="G135" s="64"/>
      <x:c r="H135" s="56"/>
      <x:c r="I135" s="56"/>
      <x:c r="J135" s="56"/>
      <x:c r="K135" s="50"/>
      <x:c r="L135" s="50"/>
      <x:c r="M135" s="50"/>
    </x:row>
    <x:row r="136">
      <x:c r="A136" s="56"/>
      <x:c r="B136" s="56"/>
      <x:c r="C136" s="56"/>
      <x:c r="D136" s="56"/>
      <x:c r="E136" s="56"/>
      <x:c r="F136" s="64"/>
      <x:c r="G136" s="64"/>
      <x:c r="H136" s="56"/>
      <x:c r="I136" s="56"/>
      <x:c r="J136" s="56"/>
      <x:c r="K136" s="50"/>
      <x:c r="L136" s="50"/>
      <x:c r="M136" s="50"/>
    </x:row>
    <x:row r="137">
      <x:c r="A137" s="56"/>
      <x:c r="B137" s="56"/>
      <x:c r="C137" s="56"/>
      <x:c r="D137" s="56"/>
      <x:c r="E137" s="56"/>
      <x:c r="F137" s="64"/>
      <x:c r="G137" s="64"/>
      <x:c r="H137" s="56"/>
      <x:c r="I137" s="56"/>
      <x:c r="J137" s="56"/>
      <x:c r="K137" s="50"/>
      <x:c r="L137" s="50"/>
      <x:c r="M137" s="50"/>
    </x:row>
    <x:row r="138">
      <x:c r="A138" s="56"/>
      <x:c r="B138" s="56"/>
      <x:c r="C138" s="56"/>
      <x:c r="D138" s="56"/>
      <x:c r="E138" s="56"/>
      <x:c r="F138" s="64"/>
      <x:c r="G138" s="64"/>
      <x:c r="H138" s="56"/>
      <x:c r="I138" s="56"/>
      <x:c r="J138" s="56"/>
      <x:c r="K138" s="50"/>
      <x:c r="L138" s="50"/>
      <x:c r="M138" s="50"/>
    </x:row>
    <x:row r="139">
      <x:c r="A139" s="56"/>
      <x:c r="B139" s="56"/>
      <x:c r="C139" s="56"/>
      <x:c r="D139" s="56"/>
      <x:c r="E139" s="56"/>
      <x:c r="F139" s="64"/>
      <x:c r="G139" s="64"/>
      <x:c r="H139" s="56"/>
      <x:c r="I139" s="56"/>
      <x:c r="J139" s="56"/>
      <x:c r="K139" s="50"/>
      <x:c r="L139" s="50"/>
      <x:c r="M139" s="50"/>
    </x:row>
    <x:row r="140">
      <x:c r="A140" s="56"/>
      <x:c r="B140" s="56"/>
      <x:c r="C140" s="56"/>
      <x:c r="D140" s="56"/>
      <x:c r="E140" s="56"/>
      <x:c r="F140" s="64"/>
      <x:c r="G140" s="64"/>
      <x:c r="H140" s="56"/>
      <x:c r="I140" s="56"/>
      <x:c r="J140" s="56"/>
      <x:c r="K140" s="50"/>
      <x:c r="L140" s="50"/>
      <x:c r="M140" s="50"/>
    </x:row>
    <x:row r="141">
      <x:c r="A141" s="56"/>
      <x:c r="B141" s="56"/>
      <x:c r="C141" s="56"/>
      <x:c r="D141" s="56"/>
      <x:c r="E141" s="56"/>
      <x:c r="F141" s="64"/>
      <x:c r="G141" s="64"/>
      <x:c r="H141" s="56"/>
      <x:c r="I141" s="56"/>
      <x:c r="J141" s="56"/>
      <x:c r="K141" s="50"/>
      <x:c r="L141" s="50"/>
      <x:c r="M141" s="50"/>
    </x:row>
    <x:row r="142">
      <x:c r="A142" s="56"/>
      <x:c r="B142" s="56"/>
      <x:c r="C142" s="56"/>
      <x:c r="D142" s="56"/>
      <x:c r="E142" s="56"/>
      <x:c r="F142" s="64"/>
      <x:c r="G142" s="64"/>
      <x:c r="H142" s="56"/>
      <x:c r="I142" s="56"/>
      <x:c r="J142" s="56"/>
      <x:c r="K142" s="50"/>
      <x:c r="L142" s="50"/>
      <x:c r="M142" s="50"/>
    </x:row>
    <x:row r="143">
      <x:c r="A143" s="56"/>
      <x:c r="B143" s="56"/>
      <x:c r="C143" s="56"/>
      <x:c r="D143" s="56"/>
      <x:c r="E143" s="56"/>
      <x:c r="F143" s="64"/>
      <x:c r="G143" s="64"/>
      <x:c r="H143" s="56"/>
      <x:c r="I143" s="56"/>
      <x:c r="J143" s="56"/>
      <x:c r="K143" s="50"/>
      <x:c r="L143" s="50"/>
      <x:c r="M143" s="50"/>
    </x:row>
    <x:row r="144">
      <x:c r="A144" s="56"/>
      <x:c r="B144" s="56"/>
      <x:c r="C144" s="56"/>
      <x:c r="D144" s="56"/>
      <x:c r="E144" s="56"/>
      <x:c r="F144" s="64"/>
      <x:c r="G144" s="64"/>
      <x:c r="H144" s="56"/>
      <x:c r="I144" s="56"/>
      <x:c r="J144" s="56"/>
      <x:c r="K144" s="50"/>
      <x:c r="L144" s="50"/>
      <x:c r="M144" s="50"/>
    </x:row>
    <x:row r="145">
      <x:c r="A145" s="56"/>
      <x:c r="B145" s="56"/>
      <x:c r="C145" s="56"/>
      <x:c r="D145" s="56"/>
      <x:c r="E145" s="56"/>
      <x:c r="F145" s="64"/>
      <x:c r="G145" s="64"/>
      <x:c r="H145" s="56"/>
      <x:c r="I145" s="56"/>
      <x:c r="J145" s="56"/>
      <x:c r="K145" s="50"/>
      <x:c r="L145" s="50"/>
      <x:c r="M145" s="50"/>
    </x:row>
    <x:row r="146">
      <x:c r="A146" s="56"/>
      <x:c r="B146" s="56"/>
      <x:c r="C146" s="56"/>
      <x:c r="D146" s="56"/>
      <x:c r="E146" s="56"/>
      <x:c r="F146" s="64"/>
      <x:c r="G146" s="64"/>
      <x:c r="H146" s="56"/>
      <x:c r="I146" s="56"/>
      <x:c r="J146" s="56"/>
      <x:c r="K146" s="50"/>
      <x:c r="L146" s="50"/>
      <x:c r="M146" s="50"/>
    </x:row>
    <x:row r="147">
      <x:c r="A147" s="56"/>
      <x:c r="B147" s="56"/>
      <x:c r="C147" s="56"/>
      <x:c r="D147" s="56"/>
      <x:c r="E147" s="56"/>
      <x:c r="F147" s="64"/>
      <x:c r="G147" s="64"/>
      <x:c r="H147" s="56"/>
      <x:c r="I147" s="56"/>
      <x:c r="J147" s="56"/>
      <x:c r="K147" s="50"/>
      <x:c r="L147" s="50"/>
      <x:c r="M147" s="50"/>
    </x:row>
    <x:row r="148">
      <x:c r="A148" s="56"/>
      <x:c r="B148" s="56"/>
      <x:c r="C148" s="56"/>
      <x:c r="D148" s="56"/>
      <x:c r="E148" s="56"/>
      <x:c r="F148" s="64"/>
      <x:c r="G148" s="64"/>
      <x:c r="H148" s="56"/>
      <x:c r="I148" s="56"/>
      <x:c r="J148" s="56"/>
      <x:c r="K148" s="50"/>
      <x:c r="L148" s="50"/>
      <x:c r="M148" s="50"/>
    </x:row>
    <x:row r="149">
      <x:c r="A149" s="56"/>
      <x:c r="B149" s="56"/>
      <x:c r="C149" s="56"/>
      <x:c r="D149" s="56"/>
      <x:c r="E149" s="56"/>
      <x:c r="F149" s="64"/>
      <x:c r="G149" s="64"/>
      <x:c r="H149" s="56"/>
      <x:c r="I149" s="56"/>
      <x:c r="J149" s="56"/>
      <x:c r="K149" s="50"/>
      <x:c r="L149" s="50"/>
      <x:c r="M149" s="50"/>
    </x:row>
    <x:row r="150">
      <x:c r="A150" s="56"/>
      <x:c r="B150" s="56"/>
      <x:c r="C150" s="56"/>
      <x:c r="D150" s="56"/>
      <x:c r="E150" s="56"/>
      <x:c r="F150" s="64"/>
      <x:c r="G150" s="64"/>
      <x:c r="H150" s="56"/>
      <x:c r="I150" s="56"/>
      <x:c r="J150" s="56"/>
      <x:c r="K150" s="50"/>
      <x:c r="L150" s="50"/>
      <x:c r="M150" s="50"/>
    </x:row>
    <x:row r="151">
      <x:c r="A151" s="56"/>
      <x:c r="B151" s="56"/>
      <x:c r="C151" s="56"/>
      <x:c r="D151" s="56"/>
      <x:c r="E151" s="56"/>
      <x:c r="F151" s="64"/>
      <x:c r="G151" s="64"/>
      <x:c r="H151" s="56"/>
      <x:c r="I151" s="56"/>
      <x:c r="J151" s="56"/>
      <x:c r="K151" s="50"/>
      <x:c r="L151" s="50"/>
      <x:c r="M151" s="50"/>
    </x:row>
    <x:row r="152">
      <x:c r="A152" s="56"/>
      <x:c r="B152" s="56"/>
      <x:c r="C152" s="56"/>
      <x:c r="D152" s="56"/>
      <x:c r="E152" s="56"/>
      <x:c r="F152" s="64"/>
      <x:c r="G152" s="64"/>
      <x:c r="H152" s="56"/>
      <x:c r="I152" s="56"/>
      <x:c r="J152" s="56"/>
      <x:c r="K152" s="50"/>
      <x:c r="L152" s="50"/>
      <x:c r="M152" s="50"/>
    </x:row>
    <x:row r="153">
      <x:c r="A153" s="56"/>
      <x:c r="B153" s="56"/>
      <x:c r="C153" s="56"/>
      <x:c r="D153" s="56"/>
      <x:c r="E153" s="56"/>
      <x:c r="F153" s="64"/>
      <x:c r="G153" s="64"/>
      <x:c r="H153" s="56"/>
      <x:c r="I153" s="56"/>
      <x:c r="J153" s="56"/>
      <x:c r="K153" s="50"/>
      <x:c r="L153" s="50"/>
      <x:c r="M153" s="50"/>
    </x:row>
    <x:row r="154">
      <x:c r="A154" s="56"/>
      <x:c r="B154" s="56"/>
      <x:c r="C154" s="56"/>
      <x:c r="D154" s="56"/>
      <x:c r="E154" s="56"/>
      <x:c r="F154" s="64"/>
      <x:c r="G154" s="64"/>
      <x:c r="H154" s="56"/>
      <x:c r="I154" s="56"/>
      <x:c r="J154" s="56"/>
      <x:c r="K154" s="50"/>
      <x:c r="L154" s="50"/>
      <x:c r="M154" s="50"/>
    </x:row>
    <x:row r="155">
      <x:c r="A155" s="56"/>
      <x:c r="B155" s="56"/>
      <x:c r="C155" s="56"/>
      <x:c r="D155" s="56"/>
      <x:c r="E155" s="56"/>
      <x:c r="F155" s="64"/>
      <x:c r="G155" s="64"/>
      <x:c r="H155" s="56"/>
      <x:c r="I155" s="56"/>
      <x:c r="J155" s="56"/>
      <x:c r="K155" s="50"/>
      <x:c r="L155" s="50"/>
      <x:c r="M155" s="50"/>
    </x:row>
    <x:row r="156">
      <x:c r="A156" s="56"/>
      <x:c r="B156" s="56"/>
      <x:c r="C156" s="56"/>
      <x:c r="D156" s="56"/>
      <x:c r="E156" s="56"/>
      <x:c r="F156" s="64"/>
      <x:c r="G156" s="64"/>
      <x:c r="H156" s="56"/>
      <x:c r="I156" s="56"/>
      <x:c r="J156" s="56"/>
      <x:c r="K156" s="50"/>
      <x:c r="L156" s="50"/>
      <x:c r="M156" s="50"/>
    </x:row>
    <x:row r="157">
      <x:c r="A157" s="56"/>
      <x:c r="B157" s="56"/>
      <x:c r="C157" s="56"/>
      <x:c r="D157" s="56"/>
      <x:c r="E157" s="56"/>
      <x:c r="F157" s="64"/>
      <x:c r="G157" s="64"/>
      <x:c r="H157" s="56"/>
      <x:c r="I157" s="56"/>
      <x:c r="J157" s="56"/>
      <x:c r="K157" s="50"/>
      <x:c r="L157" s="50"/>
      <x:c r="M157" s="50"/>
    </x:row>
    <x:row r="158">
      <x:c r="A158" s="56"/>
      <x:c r="B158" s="56"/>
      <x:c r="C158" s="56"/>
      <x:c r="D158" s="56"/>
      <x:c r="E158" s="56"/>
      <x:c r="F158" s="64"/>
      <x:c r="G158" s="64"/>
      <x:c r="H158" s="56"/>
      <x:c r="I158" s="56"/>
      <x:c r="J158" s="56"/>
      <x:c r="K158" s="50"/>
      <x:c r="L158" s="50"/>
      <x:c r="M158" s="50"/>
    </x:row>
    <x:row r="159">
      <x:c r="A159" s="56"/>
      <x:c r="B159" s="56"/>
      <x:c r="C159" s="56"/>
      <x:c r="D159" s="56"/>
      <x:c r="E159" s="56"/>
      <x:c r="F159" s="64"/>
      <x:c r="G159" s="64"/>
      <x:c r="H159" s="56"/>
      <x:c r="I159" s="56"/>
      <x:c r="J159" s="56"/>
      <x:c r="K159" s="50"/>
      <x:c r="L159" s="50"/>
      <x:c r="M159" s="50"/>
    </x:row>
    <x:row r="160">
      <x:c r="A160" s="56"/>
      <x:c r="B160" s="56"/>
      <x:c r="C160" s="56"/>
      <x:c r="D160" s="56"/>
      <x:c r="E160" s="56"/>
      <x:c r="F160" s="64"/>
      <x:c r="G160" s="64"/>
      <x:c r="H160" s="56"/>
      <x:c r="I160" s="56"/>
      <x:c r="J160" s="56"/>
      <x:c r="K160" s="50"/>
      <x:c r="L160" s="50"/>
      <x:c r="M160" s="50"/>
    </x:row>
    <x:row r="161">
      <x:c r="A161" s="56"/>
      <x:c r="B161" s="56"/>
      <x:c r="C161" s="56"/>
      <x:c r="D161" s="56"/>
      <x:c r="E161" s="56"/>
      <x:c r="F161" s="64"/>
      <x:c r="G161" s="64"/>
      <x:c r="H161" s="56"/>
      <x:c r="I161" s="56"/>
      <x:c r="J161" s="56"/>
      <x:c r="K161" s="50"/>
      <x:c r="L161" s="50"/>
      <x:c r="M161" s="50"/>
    </x:row>
    <x:row r="162">
      <x:c r="A162" s="56"/>
      <x:c r="B162" s="56"/>
      <x:c r="C162" s="56"/>
      <x:c r="D162" s="56"/>
      <x:c r="E162" s="56"/>
      <x:c r="F162" s="64"/>
      <x:c r="G162" s="64"/>
      <x:c r="H162" s="56"/>
      <x:c r="I162" s="56"/>
      <x:c r="J162" s="56"/>
      <x:c r="K162" s="50"/>
      <x:c r="L162" s="50"/>
      <x:c r="M162" s="50"/>
    </x:row>
    <x:row r="163">
      <x:c r="A163" s="56"/>
      <x:c r="B163" s="56"/>
      <x:c r="C163" s="56"/>
      <x:c r="D163" s="56"/>
      <x:c r="E163" s="56"/>
      <x:c r="F163" s="64"/>
      <x:c r="G163" s="64"/>
      <x:c r="H163" s="56"/>
      <x:c r="I163" s="56"/>
      <x:c r="J163" s="56"/>
      <x:c r="K163" s="50"/>
      <x:c r="L163" s="50"/>
      <x:c r="M163" s="50"/>
    </x:row>
    <x:row r="164">
      <x:c r="A164" s="56"/>
      <x:c r="B164" s="56"/>
      <x:c r="C164" s="56"/>
      <x:c r="D164" s="56"/>
      <x:c r="E164" s="56"/>
      <x:c r="F164" s="64"/>
      <x:c r="G164" s="64"/>
      <x:c r="H164" s="56"/>
      <x:c r="I164" s="56"/>
      <x:c r="J164" s="56"/>
      <x:c r="K164" s="50"/>
      <x:c r="L164" s="50"/>
      <x:c r="M164" s="50"/>
    </x:row>
    <x:row r="165">
      <x:c r="A165" s="56"/>
      <x:c r="B165" s="56"/>
      <x:c r="C165" s="56"/>
      <x:c r="D165" s="56"/>
      <x:c r="E165" s="56"/>
      <x:c r="F165" s="64"/>
      <x:c r="G165" s="64"/>
      <x:c r="H165" s="56"/>
      <x:c r="I165" s="56"/>
      <x:c r="J165" s="56"/>
      <x:c r="K165" s="50"/>
      <x:c r="L165" s="50"/>
      <x:c r="M165" s="50"/>
    </x:row>
    <x:row r="166">
      <x:c r="A166" s="56"/>
      <x:c r="B166" s="56"/>
      <x:c r="C166" s="56"/>
      <x:c r="D166" s="56"/>
      <x:c r="E166" s="56"/>
      <x:c r="F166" s="64"/>
      <x:c r="G166" s="64"/>
      <x:c r="H166" s="56"/>
      <x:c r="I166" s="56"/>
      <x:c r="J166" s="56"/>
      <x:c r="K166" s="50"/>
      <x:c r="L166" s="50"/>
      <x:c r="M166" s="50"/>
    </x:row>
    <x:row r="167">
      <x:c r="A167" s="56"/>
      <x:c r="B167" s="56"/>
      <x:c r="C167" s="56"/>
      <x:c r="D167" s="56"/>
      <x:c r="E167" s="56"/>
      <x:c r="F167" s="64"/>
      <x:c r="G167" s="64"/>
      <x:c r="H167" s="56"/>
      <x:c r="I167" s="56"/>
      <x:c r="J167" s="56"/>
      <x:c r="K167" s="50"/>
      <x:c r="L167" s="50"/>
      <x:c r="M167" s="50"/>
    </x:row>
    <x:row r="168">
      <x:c r="A168" s="56"/>
      <x:c r="B168" s="56"/>
      <x:c r="C168" s="56"/>
      <x:c r="D168" s="56"/>
      <x:c r="E168" s="56"/>
      <x:c r="F168" s="64"/>
      <x:c r="G168" s="64"/>
      <x:c r="H168" s="56"/>
      <x:c r="I168" s="56"/>
      <x:c r="J168" s="56"/>
      <x:c r="K168" s="50"/>
      <x:c r="L168" s="50"/>
      <x:c r="M168" s="50"/>
    </x:row>
    <x:row r="169">
      <x:c r="A169" s="56"/>
      <x:c r="B169" s="56"/>
      <x:c r="C169" s="56"/>
      <x:c r="D169" s="56"/>
      <x:c r="E169" s="56"/>
      <x:c r="F169" s="64"/>
      <x:c r="G169" s="64"/>
      <x:c r="H169" s="56"/>
      <x:c r="I169" s="56"/>
      <x:c r="J169" s="56"/>
      <x:c r="K169" s="50"/>
      <x:c r="L169" s="50"/>
      <x:c r="M169" s="50"/>
    </x:row>
    <x:row r="170">
      <x:c r="A170" s="56"/>
      <x:c r="B170" s="56"/>
      <x:c r="C170" s="56"/>
      <x:c r="D170" s="56"/>
      <x:c r="E170" s="56"/>
      <x:c r="F170" s="64"/>
      <x:c r="G170" s="64"/>
      <x:c r="H170" s="56"/>
      <x:c r="I170" s="56"/>
      <x:c r="J170" s="56"/>
      <x:c r="K170" s="50"/>
      <x:c r="L170" s="50"/>
      <x:c r="M170" s="50"/>
    </x:row>
    <x:row r="171">
      <x:c r="A171" s="56"/>
      <x:c r="B171" s="56"/>
      <x:c r="C171" s="56"/>
      <x:c r="D171" s="56"/>
      <x:c r="E171" s="56"/>
      <x:c r="F171" s="64"/>
      <x:c r="G171" s="64"/>
      <x:c r="H171" s="56"/>
      <x:c r="I171" s="56"/>
      <x:c r="J171" s="56"/>
      <x:c r="K171" s="50"/>
      <x:c r="L171" s="50"/>
      <x:c r="M171" s="50"/>
    </x:row>
    <x:row r="172">
      <x:c r="A172" s="56"/>
      <x:c r="B172" s="56"/>
      <x:c r="C172" s="56"/>
      <x:c r="D172" s="56"/>
      <x:c r="E172" s="56"/>
      <x:c r="F172" s="64"/>
      <x:c r="G172" s="64"/>
      <x:c r="H172" s="56"/>
      <x:c r="I172" s="56"/>
      <x:c r="J172" s="56"/>
      <x:c r="K172" s="50"/>
      <x:c r="L172" s="50"/>
      <x:c r="M172" s="50"/>
    </x:row>
    <x:row r="173">
      <x:c r="A173" s="56"/>
      <x:c r="B173" s="56"/>
      <x:c r="C173" s="56"/>
      <x:c r="D173" s="56"/>
      <x:c r="E173" s="56"/>
      <x:c r="F173" s="64"/>
      <x:c r="G173" s="64"/>
      <x:c r="H173" s="56"/>
      <x:c r="I173" s="56"/>
      <x:c r="J173" s="56"/>
      <x:c r="K173" s="50"/>
      <x:c r="L173" s="50"/>
      <x:c r="M173" s="50"/>
    </x:row>
    <x:row r="174">
      <x:c r="A174" s="56"/>
      <x:c r="B174" s="56"/>
      <x:c r="C174" s="56"/>
      <x:c r="D174" s="56"/>
      <x:c r="E174" s="56"/>
      <x:c r="F174" s="64"/>
      <x:c r="G174" s="64"/>
      <x:c r="H174" s="56"/>
      <x:c r="I174" s="56"/>
      <x:c r="J174" s="56"/>
      <x:c r="K174" s="50"/>
      <x:c r="L174" s="50"/>
      <x:c r="M174" s="50"/>
    </x:row>
    <x:row r="175">
      <x:c r="A175" s="56"/>
      <x:c r="B175" s="56"/>
      <x:c r="C175" s="56"/>
      <x:c r="D175" s="56"/>
      <x:c r="E175" s="56"/>
      <x:c r="F175" s="64"/>
      <x:c r="G175" s="64"/>
      <x:c r="H175" s="56"/>
      <x:c r="I175" s="56"/>
      <x:c r="J175" s="56"/>
      <x:c r="K175" s="50"/>
      <x:c r="L175" s="50"/>
      <x:c r="M175" s="50"/>
    </x:row>
    <x:row r="176">
      <x:c r="A176" s="56"/>
      <x:c r="B176" s="56"/>
      <x:c r="C176" s="56"/>
      <x:c r="D176" s="56"/>
      <x:c r="E176" s="56"/>
      <x:c r="F176" s="64"/>
      <x:c r="G176" s="64"/>
      <x:c r="H176" s="56"/>
      <x:c r="I176" s="56"/>
      <x:c r="J176" s="56"/>
      <x:c r="K176" s="50"/>
      <x:c r="L176" s="50"/>
      <x:c r="M176" s="50"/>
    </x:row>
    <x:row r="177">
      <x:c r="A177" s="56"/>
      <x:c r="B177" s="56"/>
      <x:c r="C177" s="56"/>
      <x:c r="D177" s="56"/>
      <x:c r="E177" s="56"/>
      <x:c r="F177" s="64"/>
      <x:c r="G177" s="64"/>
      <x:c r="H177" s="56"/>
      <x:c r="I177" s="56"/>
      <x:c r="J177" s="56"/>
      <x:c r="K177" s="50"/>
      <x:c r="L177" s="50"/>
      <x:c r="M177" s="50"/>
    </x:row>
    <x:row r="178">
      <x:c r="A178" s="56"/>
      <x:c r="B178" s="56"/>
      <x:c r="C178" s="56"/>
      <x:c r="D178" s="56"/>
      <x:c r="E178" s="56"/>
      <x:c r="F178" s="64"/>
      <x:c r="G178" s="64"/>
      <x:c r="H178" s="56"/>
      <x:c r="I178" s="56"/>
      <x:c r="J178" s="56"/>
      <x:c r="K178" s="50"/>
      <x:c r="L178" s="50"/>
      <x:c r="M178" s="50"/>
    </x:row>
    <x:row r="179">
      <x:c r="A179" s="56"/>
      <x:c r="B179" s="56"/>
      <x:c r="C179" s="56"/>
      <x:c r="D179" s="56"/>
      <x:c r="E179" s="56"/>
      <x:c r="F179" s="64"/>
      <x:c r="G179" s="64"/>
      <x:c r="H179" s="56"/>
      <x:c r="I179" s="56"/>
      <x:c r="J179" s="56"/>
      <x:c r="K179" s="50"/>
      <x:c r="L179" s="50"/>
      <x:c r="M179" s="50"/>
    </x:row>
    <x:row r="180">
      <x:c r="A180" s="56"/>
      <x:c r="B180" s="56"/>
      <x:c r="C180" s="56"/>
      <x:c r="D180" s="56"/>
      <x:c r="E180" s="56"/>
      <x:c r="F180" s="64"/>
      <x:c r="G180" s="64"/>
      <x:c r="H180" s="56"/>
      <x:c r="I180" s="56"/>
      <x:c r="J180" s="56"/>
      <x:c r="K180" s="50"/>
      <x:c r="L180" s="50"/>
      <x:c r="M180" s="50"/>
    </x:row>
    <x:row r="181">
      <x:c r="A181" s="56"/>
      <x:c r="B181" s="56"/>
      <x:c r="C181" s="56"/>
      <x:c r="D181" s="56"/>
      <x:c r="E181" s="56"/>
      <x:c r="F181" s="64"/>
      <x:c r="G181" s="64"/>
      <x:c r="H181" s="56"/>
      <x:c r="I181" s="56"/>
      <x:c r="J181" s="56"/>
      <x:c r="K181" s="50"/>
      <x:c r="L181" s="50"/>
      <x:c r="M181" s="50"/>
    </x:row>
    <x:row r="182">
      <x:c r="A182" s="56"/>
      <x:c r="B182" s="56"/>
      <x:c r="C182" s="56"/>
      <x:c r="D182" s="56"/>
      <x:c r="E182" s="56"/>
      <x:c r="F182" s="64"/>
      <x:c r="G182" s="64"/>
      <x:c r="H182" s="56"/>
      <x:c r="I182" s="56"/>
      <x:c r="J182" s="56"/>
      <x:c r="K182" s="50"/>
      <x:c r="L182" s="50"/>
      <x:c r="M182" s="50"/>
    </x:row>
    <x:row r="183">
      <x:c r="A183" s="56"/>
      <x:c r="B183" s="56"/>
      <x:c r="C183" s="56"/>
      <x:c r="D183" s="56"/>
      <x:c r="E183" s="56"/>
      <x:c r="F183" s="64"/>
      <x:c r="G183" s="64"/>
      <x:c r="H183" s="56"/>
      <x:c r="I183" s="56"/>
      <x:c r="J183" s="56"/>
      <x:c r="K183" s="50"/>
      <x:c r="L183" s="50"/>
      <x:c r="M183" s="50"/>
    </x:row>
    <x:row r="184">
      <x:c r="A184" s="56"/>
      <x:c r="B184" s="56"/>
      <x:c r="C184" s="56"/>
      <x:c r="D184" s="56"/>
      <x:c r="E184" s="56"/>
      <x:c r="F184" s="64"/>
      <x:c r="G184" s="64"/>
      <x:c r="H184" s="56"/>
      <x:c r="I184" s="56"/>
      <x:c r="J184" s="56"/>
      <x:c r="K184" s="50"/>
      <x:c r="L184" s="50"/>
      <x:c r="M184" s="50"/>
    </x:row>
    <x:row r="185">
      <x:c r="A185" s="56"/>
      <x:c r="B185" s="56"/>
      <x:c r="C185" s="56"/>
      <x:c r="D185" s="56"/>
      <x:c r="E185" s="56"/>
      <x:c r="F185" s="64"/>
      <x:c r="G185" s="64"/>
      <x:c r="H185" s="56"/>
      <x:c r="I185" s="56"/>
      <x:c r="J185" s="56"/>
      <x:c r="K185" s="50"/>
      <x:c r="L185" s="50"/>
      <x:c r="M185" s="50"/>
    </x:row>
    <x:row r="186">
      <x:c r="A186" s="56"/>
      <x:c r="B186" s="56"/>
      <x:c r="C186" s="56"/>
      <x:c r="D186" s="56"/>
      <x:c r="E186" s="56"/>
      <x:c r="F186" s="64"/>
      <x:c r="G186" s="64"/>
      <x:c r="H186" s="56"/>
      <x:c r="I186" s="56"/>
      <x:c r="J186" s="56"/>
      <x:c r="K186" s="50"/>
      <x:c r="L186" s="50"/>
      <x:c r="M186" s="50"/>
    </x:row>
    <x:row r="187">
      <x:c r="A187" s="56"/>
      <x:c r="B187" s="56"/>
      <x:c r="C187" s="56"/>
      <x:c r="D187" s="56"/>
      <x:c r="E187" s="56"/>
      <x:c r="F187" s="64"/>
      <x:c r="G187" s="64"/>
      <x:c r="H187" s="56"/>
      <x:c r="I187" s="56"/>
      <x:c r="J187" s="56"/>
      <x:c r="K187" s="50"/>
      <x:c r="L187" s="50"/>
      <x:c r="M187" s="50"/>
    </x:row>
    <x:row r="188">
      <x:c r="A188" s="56"/>
      <x:c r="B188" s="56"/>
      <x:c r="C188" s="56"/>
      <x:c r="D188" s="56"/>
      <x:c r="E188" s="56"/>
      <x:c r="F188" s="64"/>
      <x:c r="G188" s="64"/>
      <x:c r="H188" s="56"/>
      <x:c r="I188" s="56"/>
      <x:c r="J188" s="56"/>
      <x:c r="K188" s="50"/>
      <x:c r="L188" s="50"/>
      <x:c r="M188" s="50"/>
    </x:row>
    <x:row r="189">
      <x:c r="A189" s="56"/>
      <x:c r="B189" s="56"/>
      <x:c r="C189" s="56"/>
      <x:c r="D189" s="56"/>
      <x:c r="E189" s="56"/>
      <x:c r="F189" s="64"/>
      <x:c r="G189" s="64"/>
      <x:c r="H189" s="56"/>
      <x:c r="I189" s="56"/>
      <x:c r="J189" s="56"/>
      <x:c r="K189" s="50"/>
      <x:c r="L189" s="50"/>
      <x:c r="M189" s="50"/>
    </x:row>
    <x:row r="190">
      <x:c r="A190" s="56"/>
      <x:c r="B190" s="56"/>
      <x:c r="C190" s="56"/>
      <x:c r="D190" s="56"/>
      <x:c r="E190" s="56"/>
      <x:c r="F190" s="64"/>
      <x:c r="G190" s="64"/>
      <x:c r="H190" s="56"/>
      <x:c r="I190" s="56"/>
      <x:c r="J190" s="56"/>
      <x:c r="K190" s="50"/>
      <x:c r="L190" s="50"/>
      <x:c r="M190" s="50"/>
    </x:row>
    <x:row r="191">
      <x:c r="A191" s="56"/>
      <x:c r="B191" s="56"/>
      <x:c r="C191" s="56"/>
      <x:c r="D191" s="56"/>
      <x:c r="E191" s="56"/>
      <x:c r="F191" s="64"/>
      <x:c r="G191" s="64"/>
      <x:c r="H191" s="56"/>
      <x:c r="I191" s="56"/>
      <x:c r="J191" s="56"/>
      <x:c r="K191" s="50"/>
      <x:c r="L191" s="50"/>
      <x:c r="M191" s="50"/>
    </x:row>
    <x:row r="192">
      <x:c r="A192" s="56"/>
      <x:c r="B192" s="56"/>
      <x:c r="C192" s="56"/>
      <x:c r="D192" s="56"/>
      <x:c r="E192" s="56"/>
      <x:c r="F192" s="64"/>
      <x:c r="G192" s="64"/>
      <x:c r="H192" s="56"/>
      <x:c r="I192" s="56"/>
      <x:c r="J192" s="56"/>
      <x:c r="K192" s="50"/>
      <x:c r="L192" s="50"/>
      <x:c r="M192" s="50"/>
    </x:row>
    <x:row r="193">
      <x:c r="A193" s="56"/>
      <x:c r="B193" s="56"/>
      <x:c r="C193" s="56"/>
      <x:c r="D193" s="56"/>
      <x:c r="E193" s="56"/>
      <x:c r="F193" s="64"/>
      <x:c r="G193" s="64"/>
      <x:c r="H193" s="56"/>
      <x:c r="I193" s="56"/>
      <x:c r="J193" s="56"/>
      <x:c r="K193" s="50"/>
      <x:c r="L193" s="50"/>
      <x:c r="M193" s="50"/>
    </x:row>
    <x:row r="194">
      <x:c r="A194" s="56"/>
      <x:c r="B194" s="56"/>
      <x:c r="C194" s="56"/>
      <x:c r="D194" s="56"/>
      <x:c r="E194" s="56"/>
      <x:c r="F194" s="64"/>
      <x:c r="G194" s="64"/>
      <x:c r="H194" s="56"/>
      <x:c r="I194" s="56"/>
      <x:c r="J194" s="56"/>
      <x:c r="K194" s="50"/>
      <x:c r="L194" s="50"/>
      <x:c r="M194" s="50"/>
    </x:row>
    <x:row r="195">
      <x:c r="A195" s="56"/>
      <x:c r="B195" s="56"/>
      <x:c r="C195" s="56"/>
      <x:c r="D195" s="56"/>
      <x:c r="E195" s="56"/>
      <x:c r="F195" s="64"/>
      <x:c r="G195" s="64"/>
      <x:c r="H195" s="56"/>
      <x:c r="I195" s="56"/>
      <x:c r="J195" s="56"/>
      <x:c r="K195" s="50"/>
      <x:c r="L195" s="50"/>
      <x:c r="M195" s="50"/>
    </x:row>
    <x:row r="196">
      <x:c r="A196" s="56"/>
      <x:c r="B196" s="56"/>
      <x:c r="C196" s="56"/>
      <x:c r="D196" s="56"/>
      <x:c r="E196" s="56"/>
      <x:c r="F196" s="64"/>
      <x:c r="G196" s="64"/>
      <x:c r="H196" s="56"/>
      <x:c r="I196" s="56"/>
      <x:c r="J196" s="56"/>
      <x:c r="K196" s="50"/>
      <x:c r="L196" s="50"/>
      <x:c r="M196" s="50"/>
    </x:row>
    <x:row r="197">
      <x:c r="A197" s="56"/>
      <x:c r="B197" s="56"/>
      <x:c r="C197" s="56"/>
      <x:c r="D197" s="56"/>
      <x:c r="E197" s="56"/>
      <x:c r="F197" s="64"/>
      <x:c r="G197" s="64"/>
      <x:c r="H197" s="56"/>
      <x:c r="I197" s="56"/>
      <x:c r="J197" s="56"/>
      <x:c r="K197" s="50"/>
      <x:c r="L197" s="50"/>
      <x:c r="M197" s="50"/>
    </x:row>
    <x:row r="198">
      <x:c r="A198" s="56"/>
      <x:c r="B198" s="56"/>
      <x:c r="C198" s="56"/>
      <x:c r="D198" s="56"/>
      <x:c r="E198" s="56"/>
      <x:c r="F198" s="64"/>
      <x:c r="G198" s="64"/>
      <x:c r="H198" s="56"/>
      <x:c r="I198" s="56"/>
      <x:c r="J198" s="56"/>
      <x:c r="K198" s="50"/>
      <x:c r="L198" s="50"/>
      <x:c r="M198" s="50"/>
    </x:row>
    <x:row r="199">
      <x:c r="A199" s="56"/>
      <x:c r="B199" s="56"/>
      <x:c r="C199" s="56"/>
      <x:c r="D199" s="56"/>
      <x:c r="E199" s="56"/>
      <x:c r="F199" s="64"/>
      <x:c r="G199" s="64"/>
      <x:c r="H199" s="56"/>
      <x:c r="I199" s="56"/>
      <x:c r="J199" s="56"/>
      <x:c r="K199" s="50"/>
      <x:c r="L199" s="50"/>
      <x:c r="M199" s="50"/>
    </x:row>
    <x:row r="200">
      <x:c r="A200" s="56"/>
      <x:c r="B200" s="56"/>
      <x:c r="C200" s="56"/>
      <x:c r="D200" s="56"/>
      <x:c r="E200" s="56"/>
      <x:c r="F200" s="64"/>
      <x:c r="G200" s="64"/>
      <x:c r="H200" s="56"/>
      <x:c r="I200" s="56"/>
      <x:c r="J200" s="56"/>
      <x:c r="K200" s="50"/>
      <x:c r="L200" s="50"/>
      <x:c r="M200" s="50"/>
    </x:row>
    <x:row r="201">
      <x:c r="A201" s="56"/>
      <x:c r="B201" s="56"/>
      <x:c r="C201" s="56"/>
      <x:c r="D201" s="56"/>
      <x:c r="E201" s="56"/>
      <x:c r="F201" s="64"/>
      <x:c r="G201" s="64"/>
      <x:c r="H201" s="56"/>
      <x:c r="I201" s="56"/>
      <x:c r="J201" s="56"/>
      <x:c r="K201" s="50"/>
      <x:c r="L201" s="50"/>
      <x:c r="M201" s="50"/>
    </x:row>
    <x:row r="202">
      <x:c r="A202" s="56"/>
      <x:c r="B202" s="56"/>
      <x:c r="C202" s="56"/>
      <x:c r="D202" s="56"/>
      <x:c r="E202" s="56"/>
      <x:c r="F202" s="64"/>
      <x:c r="G202" s="64"/>
      <x:c r="H202" s="56"/>
      <x:c r="I202" s="56"/>
      <x:c r="J202" s="56"/>
      <x:c r="K202" s="50"/>
      <x:c r="L202" s="50"/>
      <x:c r="M202" s="50"/>
    </x:row>
    <x:row r="203">
      <x:c r="A203" s="56"/>
      <x:c r="B203" s="56"/>
      <x:c r="C203" s="56"/>
      <x:c r="D203" s="56"/>
      <x:c r="E203" s="56"/>
      <x:c r="F203" s="64"/>
      <x:c r="G203" s="64"/>
      <x:c r="H203" s="56"/>
      <x:c r="I203" s="56"/>
      <x:c r="J203" s="56"/>
      <x:c r="K203" s="50"/>
      <x:c r="L203" s="50"/>
      <x:c r="M203" s="50"/>
    </x:row>
    <x:row r="204">
      <x:c r="A204" s="56"/>
      <x:c r="B204" s="56"/>
      <x:c r="C204" s="56"/>
      <x:c r="D204" s="56"/>
      <x:c r="E204" s="56"/>
      <x:c r="F204" s="64"/>
      <x:c r="G204" s="64"/>
      <x:c r="H204" s="56"/>
      <x:c r="I204" s="56"/>
      <x:c r="J204" s="56"/>
      <x:c r="K204" s="50"/>
      <x:c r="L204" s="50"/>
      <x:c r="M204" s="50"/>
    </x:row>
  </x:sheetData>
  <x:dataValidations count="1">
    <x:dataValidation type="list" allowBlank="1" showDropDown="0" sqref="H5:H204">
      <x:formula1>"여유,혼잡"</x:formula1>
    </x:dataValidation>
  </x:dataValidations>
  <x:pageMargins left="0.7" right="0.7" top="0.75" bottom="0.75" header="0.3" footer="0.3"/>
</x:worksheet>
</file>